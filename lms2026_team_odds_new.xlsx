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aul_\Dropbox\Docs\lms2026\"/>
    </mc:Choice>
  </mc:AlternateContent>
  <xr:revisionPtr revIDLastSave="0" documentId="13_ncr:1_{301D3F37-49FF-43FB-853F-09E56B5DB8A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P1" sheetId="1" r:id="rId1"/>
    <sheet name="GP2" sheetId="2" r:id="rId2"/>
  </sheets>
  <definedNames>
    <definedName name="_xlnm._FilterDatabase" localSheetId="0" hidden="1">'GP1'!$A$1:$N$49</definedName>
    <definedName name="_xlnm._FilterDatabase" localSheetId="1" hidden="1">'GP2'!$A$1:$K$49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9" i="2" l="1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N10" i="2"/>
  <c r="M10" i="2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4" i="1"/>
  <c r="R3" i="1"/>
  <c r="R2" i="1"/>
  <c r="R5" i="1"/>
  <c r="K2" i="2"/>
  <c r="K3" i="2"/>
  <c r="K4" i="2"/>
  <c r="K5" i="2"/>
  <c r="K6" i="2"/>
  <c r="K7" i="2"/>
  <c r="K8" i="2"/>
  <c r="K9" i="2"/>
  <c r="K25" i="2"/>
  <c r="K13" i="2"/>
  <c r="K19" i="2"/>
  <c r="K21" i="2"/>
  <c r="K12" i="2"/>
  <c r="K15" i="2"/>
  <c r="K23" i="2"/>
  <c r="K16" i="2"/>
  <c r="K14" i="2"/>
  <c r="K17" i="2"/>
  <c r="K31" i="2"/>
  <c r="K33" i="2"/>
  <c r="K26" i="2"/>
  <c r="K37" i="2"/>
  <c r="K11" i="2"/>
  <c r="K32" i="2"/>
  <c r="K10" i="2"/>
  <c r="K30" i="2"/>
  <c r="K24" i="2"/>
  <c r="K20" i="2"/>
  <c r="K35" i="2"/>
  <c r="K28" i="2"/>
  <c r="K22" i="2"/>
  <c r="K18" i="2"/>
  <c r="K43" i="2"/>
  <c r="K27" i="2"/>
  <c r="K39" i="2"/>
  <c r="K47" i="2"/>
  <c r="K40" i="2"/>
  <c r="K41" i="2"/>
  <c r="K42" i="2"/>
  <c r="K44" i="2"/>
  <c r="K38" i="2"/>
  <c r="K48" i="2"/>
  <c r="K29" i="2"/>
  <c r="K34" i="2"/>
  <c r="K45" i="2"/>
  <c r="K49" i="2"/>
  <c r="K36" i="2"/>
  <c r="K46" i="2"/>
  <c r="N46" i="1"/>
  <c r="N48" i="1"/>
  <c r="N49" i="1"/>
  <c r="N44" i="1"/>
  <c r="N38" i="1"/>
  <c r="N33" i="1"/>
  <c r="N32" i="1"/>
  <c r="N29" i="1"/>
  <c r="N42" i="1"/>
  <c r="N31" i="1"/>
  <c r="N45" i="1"/>
  <c r="N47" i="1"/>
  <c r="N41" i="1"/>
  <c r="N39" i="1"/>
  <c r="N26" i="1"/>
  <c r="N43" i="1"/>
  <c r="N22" i="1"/>
  <c r="N30" i="1"/>
  <c r="N34" i="1"/>
  <c r="N40" i="1"/>
  <c r="N25" i="1"/>
  <c r="N20" i="1"/>
  <c r="N18" i="1"/>
  <c r="N19" i="1"/>
  <c r="N15" i="1"/>
  <c r="N37" i="1"/>
  <c r="N16" i="1"/>
  <c r="N28" i="1"/>
  <c r="N21" i="1"/>
  <c r="N12" i="1"/>
  <c r="N27" i="1"/>
  <c r="N9" i="1"/>
  <c r="N11" i="1"/>
  <c r="N8" i="1"/>
  <c r="N35" i="1"/>
  <c r="N23" i="1"/>
  <c r="N10" i="1"/>
  <c r="N7" i="1"/>
  <c r="N6" i="1"/>
  <c r="N24" i="1"/>
  <c r="N14" i="1"/>
  <c r="N36" i="1"/>
  <c r="N5" i="1"/>
  <c r="N17" i="1"/>
  <c r="N4" i="1"/>
  <c r="N3" i="1"/>
  <c r="N2" i="1"/>
  <c r="N13" i="1"/>
  <c r="N49" i="2" l="1"/>
  <c r="O49" i="2" s="1"/>
  <c r="N48" i="2"/>
  <c r="O48" i="2" s="1"/>
  <c r="N43" i="2"/>
  <c r="O43" i="2" s="1"/>
  <c r="N40" i="2"/>
  <c r="O40" i="2" s="1"/>
  <c r="N31" i="2"/>
  <c r="O31" i="2" s="1"/>
  <c r="N28" i="2"/>
  <c r="O28" i="2" s="1"/>
  <c r="N26" i="2"/>
  <c r="O26" i="2" s="1"/>
  <c r="N24" i="2"/>
  <c r="O24" i="2" s="1"/>
  <c r="N22" i="2"/>
  <c r="O22" i="2" s="1"/>
  <c r="N21" i="2"/>
  <c r="O21" i="2" s="1"/>
  <c r="N20" i="2"/>
  <c r="O20" i="2" s="1"/>
  <c r="N19" i="2"/>
  <c r="O19" i="2" s="1"/>
  <c r="N18" i="2"/>
  <c r="O18" i="2" s="1"/>
  <c r="N17" i="2"/>
  <c r="O17" i="2" s="1"/>
  <c r="N16" i="2"/>
  <c r="O16" i="2" s="1"/>
  <c r="N15" i="2"/>
  <c r="O15" i="2" s="1"/>
  <c r="N14" i="2"/>
  <c r="O14" i="2" s="1"/>
  <c r="N13" i="2"/>
  <c r="O13" i="2" s="1"/>
  <c r="N12" i="2"/>
  <c r="O12" i="2" s="1"/>
  <c r="N11" i="2"/>
  <c r="O11" i="2" s="1"/>
  <c r="O10" i="2"/>
  <c r="N47" i="2"/>
  <c r="O47" i="2" s="1"/>
  <c r="N46" i="2"/>
  <c r="O46" i="2" s="1"/>
  <c r="N45" i="2"/>
  <c r="O45" i="2" s="1"/>
  <c r="N44" i="2"/>
  <c r="O44" i="2" s="1"/>
  <c r="N42" i="2"/>
  <c r="O42" i="2" s="1"/>
  <c r="N41" i="2"/>
  <c r="O41" i="2" s="1"/>
  <c r="N39" i="2"/>
  <c r="O39" i="2" s="1"/>
  <c r="N38" i="2"/>
  <c r="O38" i="2" s="1"/>
  <c r="N37" i="2"/>
  <c r="O37" i="2" s="1"/>
  <c r="N36" i="2"/>
  <c r="O36" i="2" s="1"/>
  <c r="N35" i="2"/>
  <c r="O35" i="2" s="1"/>
  <c r="N34" i="2"/>
  <c r="O34" i="2" s="1"/>
  <c r="N33" i="2"/>
  <c r="O33" i="2" s="1"/>
  <c r="N32" i="2"/>
  <c r="O32" i="2" s="1"/>
  <c r="N30" i="2"/>
  <c r="O30" i="2" s="1"/>
  <c r="N29" i="2"/>
  <c r="O29" i="2" s="1"/>
  <c r="N27" i="2"/>
  <c r="O27" i="2" s="1"/>
  <c r="N25" i="2"/>
  <c r="O25" i="2" s="1"/>
  <c r="N23" i="2"/>
  <c r="O23" i="2" s="1"/>
</calcChain>
</file>

<file path=xl/sharedStrings.xml><?xml version="1.0" encoding="utf-8"?>
<sst xmlns="http://schemas.openxmlformats.org/spreadsheetml/2006/main" count="610" uniqueCount="78">
  <si>
    <t>Team</t>
  </si>
  <si>
    <t>Band</t>
  </si>
  <si>
    <t>Tourn Odds</t>
  </si>
  <si>
    <t>GP1 Opp</t>
  </si>
  <si>
    <t>GP1 Odds</t>
  </si>
  <si>
    <t>GP2 Opp</t>
  </si>
  <si>
    <t>GP2 Odds</t>
  </si>
  <si>
    <t>GP3 Opp</t>
  </si>
  <si>
    <t>GP3 Odds</t>
  </si>
  <si>
    <t>Min Match Odds</t>
  </si>
  <si>
    <t>Algeria</t>
  </si>
  <si>
    <t>Nope</t>
  </si>
  <si>
    <t>Argentina</t>
  </si>
  <si>
    <t>Jordan</t>
  </si>
  <si>
    <t>Austria</t>
  </si>
  <si>
    <t>Fav</t>
  </si>
  <si>
    <t>Australia</t>
  </si>
  <si>
    <t>Turkey</t>
  </si>
  <si>
    <t>USA</t>
  </si>
  <si>
    <t>Paraguay</t>
  </si>
  <si>
    <t>Long</t>
  </si>
  <si>
    <t>Belgium</t>
  </si>
  <si>
    <t>Dark</t>
  </si>
  <si>
    <t>Egypt</t>
  </si>
  <si>
    <t>Iran</t>
  </si>
  <si>
    <t>New Zealand</t>
  </si>
  <si>
    <t>Bosnia/Herzeg</t>
  </si>
  <si>
    <t>Canada</t>
  </si>
  <si>
    <t>Switzerland</t>
  </si>
  <si>
    <t>Qatar</t>
  </si>
  <si>
    <t>Brazil</t>
  </si>
  <si>
    <t>Morocco</t>
  </si>
  <si>
    <t>Haiti</t>
  </si>
  <si>
    <t>Scotland</t>
  </si>
  <si>
    <t>Cape Verde</t>
  </si>
  <si>
    <t>Spain</t>
  </si>
  <si>
    <t>Uruguay</t>
  </si>
  <si>
    <t>Saudi Arabia</t>
  </si>
  <si>
    <t>Colombia</t>
  </si>
  <si>
    <t>Uzbekistan</t>
  </si>
  <si>
    <t>DR Congo</t>
  </si>
  <si>
    <t>Portugal</t>
  </si>
  <si>
    <t>Croatia</t>
  </si>
  <si>
    <t>England</t>
  </si>
  <si>
    <t>Panama</t>
  </si>
  <si>
    <t>Ghana</t>
  </si>
  <si>
    <t>Curaçao</t>
  </si>
  <si>
    <t>Germany</t>
  </si>
  <si>
    <t>Ecuador</t>
  </si>
  <si>
    <t>Ivory Coast</t>
  </si>
  <si>
    <t>Czech Rep</t>
  </si>
  <si>
    <t>South Korea</t>
  </si>
  <si>
    <t>South Africa</t>
  </si>
  <si>
    <t>Mexico</t>
  </si>
  <si>
    <t>France</t>
  </si>
  <si>
    <t>Senegal</t>
  </si>
  <si>
    <t>Iraq</t>
  </si>
  <si>
    <t>Norway</t>
  </si>
  <si>
    <t>Japan</t>
  </si>
  <si>
    <t>Netherlands</t>
  </si>
  <si>
    <t>Tunisia</t>
  </si>
  <si>
    <t>Sweden</t>
  </si>
  <si>
    <t>Longshot</t>
  </si>
  <si>
    <t>—</t>
  </si>
  <si>
    <t>⭐ Yes</t>
  </si>
  <si>
    <t>Incl</t>
  </si>
  <si>
    <t>GP1</t>
  </si>
  <si>
    <t>KO keep</t>
  </si>
  <si>
    <t>y</t>
  </si>
  <si>
    <t>GP2</t>
  </si>
  <si>
    <t>GP3</t>
  </si>
  <si>
    <t>GP2/3</t>
  </si>
  <si>
    <t>GP3?</t>
  </si>
  <si>
    <t>Opp</t>
  </si>
  <si>
    <t>Y</t>
  </si>
  <si>
    <t>N</t>
  </si>
  <si>
    <t>GP2 move</t>
  </si>
  <si>
    <t>G2 lookup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</si>
</sst>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##"/>
    <numFmt numFmtId="165" formatCode="0.0%"/>
    <numFmt numFmtId="166" formatCode="0.00_ ;[Red]\-0.00\ "/>
  </numFmts>
  <fonts count="12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b/>
      <sz val="11"/>
      <color rgb="FFB8860B"/>
      <name val="Arial"/>
      <charset val="1"/>
    </font>
    <font>
      <b/>
      <sz val="11"/>
      <color rgb="FF000000"/>
      <name val="Arial"/>
      <charset val="1"/>
    </font>
    <font>
      <sz val="11"/>
      <color rgb="FF000000"/>
      <name val="Arial"/>
      <charset val="1"/>
    </font>
    <font>
      <b/>
      <sz val="11"/>
      <color rgb="FFFFFFFF"/>
      <name val="Arial"/>
      <charset val="1"/>
    </font>
    <font>
      <b/>
      <sz val="11"/>
      <color rgb="FFFF0000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rgb="FF404040"/>
      </patternFill>
    </fill>
    <fill>
      <patternFill patternType="solid">
        <fgColor rgb="FF2E75B6"/>
      </patternFill>
    </fill>
    <fill>
      <patternFill patternType="solid">
        <fgColor rgb="FF375623"/>
      </patternFill>
    </fill>
    <fill>
      <patternFill patternType="solid">
        <fgColor rgb="FF7B3F00"/>
      </patternFill>
    </fill>
    <fill>
      <patternFill patternType="solid">
        <fgColor rgb="FFFF0000"/>
      </patternFill>
    </fill>
    <fill>
      <patternFill patternType="solid">
        <fgColor rgb="FFC6EFCE"/>
      </patternFill>
    </fill>
    <fill>
      <patternFill patternType="solid">
        <fgColor rgb="FFFFC000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4C4C"/>
        <bgColor rgb="FFFF8080"/>
      </patternFill>
    </fill>
    <fill>
      <patternFill patternType="solid">
        <fgColor rgb="FF4472C4"/>
        <bgColor rgb="FF666699"/>
      </patternFill>
    </fill>
    <fill>
      <patternFill patternType="solid">
        <fgColor rgb="FF9DC183"/>
        <bgColor rgb="FF969696"/>
      </patternFill>
    </fill>
    <fill>
      <patternFill patternType="solid">
        <fgColor rgb="FFFFC000"/>
        <bgColor rgb="FFFF9900"/>
      </patternFill>
    </fill>
    <fill>
      <patternFill patternType="solid">
        <fgColor rgb="FF1F2937"/>
        <bgColor rgb="FF333300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/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</borders>
  <cellStyleXfs count="2">
    <xf numFmtId="0" fontId="0" fillId="0" borderId="0"/>
    <xf numFmtId="0" fontId="4" fillId="0" borderId="0"/>
  </cellStyleXfs>
  <cellXfs count="57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left"/>
    </xf>
    <xf numFmtId="0" fontId="1" fillId="6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left"/>
    </xf>
    <xf numFmtId="0" fontId="1" fillId="8" borderId="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left"/>
    </xf>
    <xf numFmtId="0" fontId="1" fillId="9" borderId="1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left"/>
    </xf>
    <xf numFmtId="0" fontId="1" fillId="10" borderId="1" xfId="0" applyFont="1" applyFill="1" applyBorder="1" applyAlignment="1">
      <alignment horizontal="center"/>
    </xf>
    <xf numFmtId="0" fontId="2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11" borderId="2" xfId="0" applyFont="1" applyFill="1" applyBorder="1" applyAlignment="1">
      <alignment horizontal="center"/>
    </xf>
    <xf numFmtId="0" fontId="2" fillId="7" borderId="5" xfId="0" applyFont="1" applyFill="1" applyBorder="1" applyAlignment="1">
      <alignment horizontal="center"/>
    </xf>
    <xf numFmtId="0" fontId="2" fillId="7" borderId="6" xfId="0" applyFont="1" applyFill="1" applyBorder="1" applyAlignment="1">
      <alignment horizontal="center"/>
    </xf>
    <xf numFmtId="0" fontId="2" fillId="11" borderId="5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0" fillId="13" borderId="0" xfId="0" applyFill="1"/>
    <xf numFmtId="0" fontId="2" fillId="14" borderId="1" xfId="0" applyFont="1" applyFill="1" applyBorder="1" applyAlignment="1">
      <alignment horizontal="center"/>
    </xf>
    <xf numFmtId="0" fontId="2" fillId="14" borderId="4" xfId="0" applyFont="1" applyFill="1" applyBorder="1" applyAlignment="1">
      <alignment horizontal="center"/>
    </xf>
    <xf numFmtId="0" fontId="0" fillId="14" borderId="0" xfId="0" applyFill="1"/>
    <xf numFmtId="0" fontId="4" fillId="0" borderId="0" xfId="1"/>
    <xf numFmtId="2" fontId="5" fillId="0" borderId="0" xfId="1" applyNumberFormat="1" applyFont="1" applyAlignment="1">
      <alignment horizontal="center"/>
    </xf>
    <xf numFmtId="2" fontId="6" fillId="0" borderId="0" xfId="1" applyNumberFormat="1" applyFont="1" applyAlignment="1">
      <alignment horizontal="center"/>
    </xf>
    <xf numFmtId="0" fontId="6" fillId="0" borderId="0" xfId="1" applyFont="1" applyAlignment="1">
      <alignment horizontal="center"/>
    </xf>
    <xf numFmtId="2" fontId="6" fillId="0" borderId="2" xfId="1" applyNumberFormat="1" applyFont="1" applyBorder="1" applyAlignment="1">
      <alignment horizontal="center"/>
    </xf>
    <xf numFmtId="164" fontId="6" fillId="0" borderId="0" xfId="1" applyNumberFormat="1" applyFont="1" applyAlignment="1">
      <alignment horizontal="center"/>
    </xf>
    <xf numFmtId="0" fontId="8" fillId="15" borderId="0" xfId="1" applyFont="1" applyFill="1" applyAlignment="1">
      <alignment horizontal="center"/>
    </xf>
    <xf numFmtId="0" fontId="8" fillId="15" borderId="0" xfId="1" applyFont="1" applyFill="1"/>
    <xf numFmtId="0" fontId="9" fillId="0" borderId="0" xfId="1" applyFont="1" applyAlignment="1">
      <alignment horizontal="center"/>
    </xf>
    <xf numFmtId="0" fontId="8" fillId="16" borderId="0" xfId="1" applyFont="1" applyFill="1" applyAlignment="1">
      <alignment horizontal="center"/>
    </xf>
    <xf numFmtId="0" fontId="8" fillId="16" borderId="0" xfId="1" applyFont="1" applyFill="1"/>
    <xf numFmtId="0" fontId="8" fillId="17" borderId="0" xfId="1" applyFont="1" applyFill="1" applyAlignment="1">
      <alignment horizontal="center"/>
    </xf>
    <xf numFmtId="0" fontId="8" fillId="17" borderId="0" xfId="1" applyFont="1" applyFill="1"/>
    <xf numFmtId="0" fontId="8" fillId="18" borderId="0" xfId="1" applyFont="1" applyFill="1" applyAlignment="1">
      <alignment horizontal="center"/>
    </xf>
    <xf numFmtId="0" fontId="8" fillId="18" borderId="0" xfId="1" applyFont="1" applyFill="1"/>
    <xf numFmtId="0" fontId="10" fillId="19" borderId="0" xfId="1" applyFont="1" applyFill="1" applyAlignment="1">
      <alignment horizontal="center" vertical="center"/>
    </xf>
    <xf numFmtId="2" fontId="6" fillId="0" borderId="0" xfId="1" applyNumberFormat="1" applyFont="1" applyBorder="1" applyAlignment="1">
      <alignment horizontal="center"/>
    </xf>
    <xf numFmtId="0" fontId="7" fillId="20" borderId="0" xfId="1" applyFont="1" applyFill="1" applyAlignment="1">
      <alignment horizontal="center"/>
    </xf>
    <xf numFmtId="2" fontId="11" fillId="21" borderId="0" xfId="1" applyNumberFormat="1" applyFont="1" applyFill="1" applyAlignment="1">
      <alignment horizontal="center"/>
    </xf>
    <xf numFmtId="2" fontId="11" fillId="0" borderId="0" xfId="1" applyNumberFormat="1" applyFont="1" applyAlignment="1">
      <alignment horizontal="center"/>
    </xf>
    <xf numFmtId="2" fontId="11" fillId="0" borderId="0" xfId="1" applyNumberFormat="1" applyFont="1" applyBorder="1" applyAlignment="1">
      <alignment horizontal="center"/>
    </xf>
    <xf numFmtId="0" fontId="3" fillId="0" borderId="0" xfId="0" applyFont="1"/>
    <xf numFmtId="0" fontId="4" fillId="0" borderId="0" xfId="1" applyAlignment="1">
      <alignment horizontal="center"/>
    </xf>
    <xf numFmtId="165" fontId="4" fillId="0" borderId="0" xfId="1" applyNumberFormat="1" applyAlignment="1">
      <alignment horizontal="center"/>
    </xf>
    <xf numFmtId="166" fontId="4" fillId="0" borderId="0" xfId="1" applyNumberFormat="1" applyAlignment="1">
      <alignment horizontal="center"/>
    </xf>
  </cellXfs>
  <cellStyles count="2">
    <cellStyle name="Normal" xfId="0" builtinId="0"/>
    <cellStyle name="Normal 2" xfId="1" xr:uid="{FD15A9F1-7C99-44D8-BD07-63A5B463EB75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9"/>
  <sheetViews>
    <sheetView workbookViewId="0">
      <pane ySplit="1" topLeftCell="A2" activePane="bottomLeft" state="frozen"/>
      <selection pane="bottomLeft" activeCell="R1" sqref="R1"/>
    </sheetView>
  </sheetViews>
  <sheetFormatPr defaultRowHeight="15" x14ac:dyDescent="0.25"/>
  <cols>
    <col min="1" max="1" width="14" customWidth="1"/>
    <col min="2" max="2" width="6" customWidth="1"/>
    <col min="3" max="3" width="13.85546875" bestFit="1" customWidth="1"/>
    <col min="4" max="4" width="11" customWidth="1"/>
    <col min="5" max="5" width="14" customWidth="1"/>
    <col min="6" max="6" width="9" customWidth="1"/>
    <col min="7" max="7" width="14" customWidth="1"/>
    <col min="8" max="8" width="9" customWidth="1"/>
    <col min="9" max="9" width="14" customWidth="1"/>
    <col min="10" max="10" width="9" customWidth="1"/>
    <col min="11" max="11" width="14" customWidth="1"/>
    <col min="12" max="13" width="9.140625" style="17"/>
  </cols>
  <sheetData>
    <row r="1" spans="1:18" x14ac:dyDescent="0.25">
      <c r="A1" s="1" t="s">
        <v>0</v>
      </c>
      <c r="B1" s="1" t="s">
        <v>1</v>
      </c>
      <c r="C1" s="1" t="s">
        <v>62</v>
      </c>
      <c r="D1" s="1" t="s">
        <v>2</v>
      </c>
      <c r="E1" s="2" t="s">
        <v>3</v>
      </c>
      <c r="F1" s="2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1" t="s">
        <v>9</v>
      </c>
      <c r="L1" s="17" t="s">
        <v>65</v>
      </c>
      <c r="M1" s="17" t="s">
        <v>67</v>
      </c>
      <c r="N1" t="s">
        <v>73</v>
      </c>
      <c r="R1" s="53" t="s">
        <v>77</v>
      </c>
    </row>
    <row r="2" spans="1:18" x14ac:dyDescent="0.25">
      <c r="A2" s="9" t="s">
        <v>30</v>
      </c>
      <c r="B2" s="10" t="s">
        <v>15</v>
      </c>
      <c r="C2" s="10"/>
      <c r="D2" s="7">
        <v>9</v>
      </c>
      <c r="E2" s="7" t="s">
        <v>31</v>
      </c>
      <c r="F2" s="8">
        <v>1.55</v>
      </c>
      <c r="G2" s="7" t="s">
        <v>32</v>
      </c>
      <c r="H2" s="15">
        <v>1.07</v>
      </c>
      <c r="I2" s="7" t="s">
        <v>33</v>
      </c>
      <c r="J2" s="15">
        <v>1.44</v>
      </c>
      <c r="K2" s="29">
        <v>1.07</v>
      </c>
      <c r="L2"/>
      <c r="M2"/>
      <c r="N2" s="31" t="str">
        <f>E2&amp;"_"&amp;G2&amp;"_"&amp;I2</f>
        <v>Morocco_Haiti_Scotland</v>
      </c>
      <c r="R2" t="str">
        <f t="shared" ref="R2:R49" si="0">A2&amp;G2</f>
        <v>BrazilHaiti</v>
      </c>
    </row>
    <row r="3" spans="1:18" ht="15.75" thickBot="1" x14ac:dyDescent="0.3">
      <c r="A3" s="9" t="s">
        <v>35</v>
      </c>
      <c r="B3" s="10" t="s">
        <v>15</v>
      </c>
      <c r="C3" s="10"/>
      <c r="D3" s="7">
        <v>5.5</v>
      </c>
      <c r="E3" s="7" t="s">
        <v>34</v>
      </c>
      <c r="F3" s="15">
        <v>1.1000000000000001</v>
      </c>
      <c r="G3" s="7" t="s">
        <v>37</v>
      </c>
      <c r="H3" s="15">
        <v>1.1000000000000001</v>
      </c>
      <c r="I3" s="7" t="s">
        <v>36</v>
      </c>
      <c r="J3" s="23">
        <v>1.62</v>
      </c>
      <c r="K3" s="7">
        <v>1.1000000000000001</v>
      </c>
      <c r="L3"/>
      <c r="M3"/>
      <c r="N3" t="str">
        <f>E3&amp;"_"&amp;G3&amp;"_"&amp;I3</f>
        <v>Cape Verde_Saudi Arabia_Uruguay</v>
      </c>
      <c r="R3" t="str">
        <f t="shared" si="0"/>
        <v>SpainSaudi Arabia</v>
      </c>
    </row>
    <row r="4" spans="1:18" ht="15.75" thickBot="1" x14ac:dyDescent="0.3">
      <c r="A4" s="9" t="s">
        <v>54</v>
      </c>
      <c r="B4" s="10" t="s">
        <v>15</v>
      </c>
      <c r="C4" s="10"/>
      <c r="D4" s="7">
        <v>5.5</v>
      </c>
      <c r="E4" s="7" t="s">
        <v>55</v>
      </c>
      <c r="F4" s="15">
        <v>1.44</v>
      </c>
      <c r="G4" s="7" t="s">
        <v>56</v>
      </c>
      <c r="H4" s="15">
        <v>1.1200000000000001</v>
      </c>
      <c r="I4" s="18" t="s">
        <v>57</v>
      </c>
      <c r="J4" s="27">
        <v>1.8</v>
      </c>
      <c r="K4" s="19">
        <v>1.1200000000000001</v>
      </c>
      <c r="L4"/>
      <c r="M4"/>
      <c r="N4" t="str">
        <f>E4&amp;"_"&amp;G4&amp;"_"&amp;I4</f>
        <v>Senegal_Iraq_Norway</v>
      </c>
      <c r="R4" t="str">
        <f t="shared" si="0"/>
        <v>FranceIraq</v>
      </c>
    </row>
    <row r="5" spans="1:18" x14ac:dyDescent="0.25">
      <c r="A5" s="11" t="s">
        <v>48</v>
      </c>
      <c r="B5" s="12" t="s">
        <v>20</v>
      </c>
      <c r="C5" s="12" t="s">
        <v>63</v>
      </c>
      <c r="D5" s="7">
        <v>101</v>
      </c>
      <c r="E5" s="7" t="s">
        <v>49</v>
      </c>
      <c r="F5" s="7">
        <v>2.25</v>
      </c>
      <c r="G5" s="7" t="s">
        <v>46</v>
      </c>
      <c r="H5" s="15">
        <v>1.18</v>
      </c>
      <c r="I5" s="7" t="s">
        <v>47</v>
      </c>
      <c r="J5" s="21">
        <v>4.8</v>
      </c>
      <c r="K5" s="29">
        <v>1.18</v>
      </c>
      <c r="L5" s="17" t="s">
        <v>69</v>
      </c>
      <c r="N5" s="31" t="str">
        <f>E5&amp;"_"&amp;G5&amp;"_"&amp;I5</f>
        <v>Ivory Coast_Curaçao_Germany</v>
      </c>
      <c r="R5" t="str">
        <f>A5&amp;G5</f>
        <v>EcuadorCuraçao</v>
      </c>
    </row>
    <row r="6" spans="1:18" ht="15.75" thickBot="1" x14ac:dyDescent="0.3">
      <c r="A6" s="9" t="s">
        <v>41</v>
      </c>
      <c r="B6" s="10" t="s">
        <v>15</v>
      </c>
      <c r="C6" s="10"/>
      <c r="D6" s="7">
        <v>9</v>
      </c>
      <c r="E6" s="7" t="s">
        <v>40</v>
      </c>
      <c r="F6" s="15">
        <v>1.25</v>
      </c>
      <c r="G6" s="7" t="s">
        <v>39</v>
      </c>
      <c r="H6" s="15">
        <v>1.22</v>
      </c>
      <c r="I6" s="7" t="s">
        <v>38</v>
      </c>
      <c r="J6" s="20">
        <v>2.1</v>
      </c>
      <c r="K6" s="29">
        <v>1.22</v>
      </c>
      <c r="L6"/>
      <c r="M6"/>
      <c r="N6" s="31" t="str">
        <f>E6&amp;"_"&amp;G6&amp;"_"&amp;I6</f>
        <v>DR Congo_Uzbekistan_Colombia</v>
      </c>
      <c r="R6" t="str">
        <f t="shared" ref="R6:R49" si="1">A6&amp;G6</f>
        <v>PortugalUzbekistan</v>
      </c>
    </row>
    <row r="7" spans="1:18" ht="15.75" thickBot="1" x14ac:dyDescent="0.3">
      <c r="A7" s="9" t="s">
        <v>43</v>
      </c>
      <c r="B7" s="10" t="s">
        <v>15</v>
      </c>
      <c r="C7" s="10"/>
      <c r="D7" s="7">
        <v>7</v>
      </c>
      <c r="E7" s="7" t="s">
        <v>42</v>
      </c>
      <c r="F7" s="8">
        <v>1.7</v>
      </c>
      <c r="G7" s="7" t="s">
        <v>45</v>
      </c>
      <c r="H7" s="15">
        <v>1.3</v>
      </c>
      <c r="I7" s="18" t="s">
        <v>44</v>
      </c>
      <c r="J7" s="22">
        <v>1.25</v>
      </c>
      <c r="K7" s="19">
        <v>1.25</v>
      </c>
      <c r="L7"/>
      <c r="M7"/>
      <c r="N7" t="str">
        <f>E7&amp;"_"&amp;G7&amp;"_"&amp;I7</f>
        <v>Croatia_Ghana_Panama</v>
      </c>
      <c r="R7" t="str">
        <f t="shared" si="1"/>
        <v>EnglandGhana</v>
      </c>
    </row>
    <row r="8" spans="1:18" x14ac:dyDescent="0.25">
      <c r="A8" s="11" t="s">
        <v>27</v>
      </c>
      <c r="B8" s="12" t="s">
        <v>20</v>
      </c>
      <c r="C8" s="12" t="s">
        <v>63</v>
      </c>
      <c r="D8" s="7">
        <v>151</v>
      </c>
      <c r="E8" s="7" t="s">
        <v>26</v>
      </c>
      <c r="F8" s="8">
        <v>1.75</v>
      </c>
      <c r="G8" s="7" t="s">
        <v>29</v>
      </c>
      <c r="H8" s="15">
        <v>1.3</v>
      </c>
      <c r="I8" s="7" t="s">
        <v>28</v>
      </c>
      <c r="J8" s="21">
        <v>3.4</v>
      </c>
      <c r="K8" s="7">
        <v>1.3</v>
      </c>
      <c r="L8" s="17" t="s">
        <v>69</v>
      </c>
      <c r="N8" t="str">
        <f>E8&amp;"_"&amp;G8&amp;"_"&amp;I8</f>
        <v>Bosnia/Herzeg_Qatar_Switzerland</v>
      </c>
      <c r="R8" t="str">
        <f t="shared" si="1"/>
        <v>CanadaQatar</v>
      </c>
    </row>
    <row r="9" spans="1:18" x14ac:dyDescent="0.25">
      <c r="A9" s="11" t="s">
        <v>36</v>
      </c>
      <c r="B9" s="12" t="s">
        <v>20</v>
      </c>
      <c r="C9" s="12" t="s">
        <v>63</v>
      </c>
      <c r="D9" s="7">
        <v>67</v>
      </c>
      <c r="E9" s="7" t="s">
        <v>37</v>
      </c>
      <c r="F9" s="15">
        <v>1.44</v>
      </c>
      <c r="G9" s="7" t="s">
        <v>34</v>
      </c>
      <c r="H9" s="15">
        <v>1.4</v>
      </c>
      <c r="I9" s="7" t="s">
        <v>35</v>
      </c>
      <c r="J9" s="7">
        <v>5</v>
      </c>
      <c r="K9" s="7">
        <v>1.4</v>
      </c>
      <c r="L9" s="17" t="s">
        <v>69</v>
      </c>
      <c r="N9" t="str">
        <f>E9&amp;"_"&amp;G9&amp;"_"&amp;I9</f>
        <v>Saudi Arabia_Cape Verde_Spain</v>
      </c>
      <c r="R9" t="str">
        <f t="shared" si="1"/>
        <v>UruguayCape Verde</v>
      </c>
    </row>
    <row r="10" spans="1:18" ht="15.75" thickBot="1" x14ac:dyDescent="0.3">
      <c r="A10" s="13" t="s">
        <v>21</v>
      </c>
      <c r="B10" s="14" t="s">
        <v>22</v>
      </c>
      <c r="C10" s="14" t="s">
        <v>63</v>
      </c>
      <c r="D10" s="7">
        <v>29</v>
      </c>
      <c r="E10" s="7" t="s">
        <v>23</v>
      </c>
      <c r="F10" s="8">
        <v>1.67</v>
      </c>
      <c r="G10" s="7" t="s">
        <v>24</v>
      </c>
      <c r="H10" s="15">
        <v>1.4</v>
      </c>
      <c r="I10" s="7" t="s">
        <v>25</v>
      </c>
      <c r="J10" s="25">
        <v>1.29</v>
      </c>
      <c r="K10" s="29">
        <v>1.29</v>
      </c>
      <c r="L10" s="17" t="s">
        <v>71</v>
      </c>
      <c r="M10" s="17" t="s">
        <v>68</v>
      </c>
      <c r="N10" s="31" t="str">
        <f>E10&amp;"_"&amp;G10&amp;"_"&amp;I10</f>
        <v>Egypt_Iran_New Zealand</v>
      </c>
      <c r="R10" t="str">
        <f t="shared" si="1"/>
        <v>BelgiumIran</v>
      </c>
    </row>
    <row r="11" spans="1:18" ht="15.75" thickBot="1" x14ac:dyDescent="0.3">
      <c r="A11" s="13" t="s">
        <v>38</v>
      </c>
      <c r="B11" s="14" t="s">
        <v>22</v>
      </c>
      <c r="C11" s="14" t="s">
        <v>63</v>
      </c>
      <c r="D11" s="7">
        <v>34</v>
      </c>
      <c r="E11" s="7" t="s">
        <v>39</v>
      </c>
      <c r="F11" s="15">
        <v>1.33</v>
      </c>
      <c r="G11" s="7" t="s">
        <v>40</v>
      </c>
      <c r="H11" s="15">
        <v>1.44</v>
      </c>
      <c r="I11" s="18" t="s">
        <v>41</v>
      </c>
      <c r="J11" s="26">
        <v>3.3</v>
      </c>
      <c r="K11" s="30">
        <v>1.33</v>
      </c>
      <c r="L11" s="17" t="s">
        <v>66</v>
      </c>
      <c r="M11" s="17" t="s">
        <v>68</v>
      </c>
      <c r="N11" s="31" t="str">
        <f>E11&amp;"_"&amp;G11&amp;"_"&amp;I11</f>
        <v>Uzbekistan_DR Congo_Portugal</v>
      </c>
      <c r="R11" t="str">
        <f t="shared" si="1"/>
        <v>ColombiaDR Congo</v>
      </c>
    </row>
    <row r="12" spans="1:18" x14ac:dyDescent="0.25">
      <c r="A12" s="11" t="s">
        <v>42</v>
      </c>
      <c r="B12" s="12" t="s">
        <v>20</v>
      </c>
      <c r="C12" s="12" t="s">
        <v>63</v>
      </c>
      <c r="D12" s="7">
        <v>81</v>
      </c>
      <c r="E12" s="7" t="s">
        <v>43</v>
      </c>
      <c r="F12" s="7">
        <v>4.5</v>
      </c>
      <c r="G12" s="7" t="s">
        <v>44</v>
      </c>
      <c r="H12" s="15">
        <v>1.44</v>
      </c>
      <c r="I12" s="7" t="s">
        <v>45</v>
      </c>
      <c r="J12" s="24">
        <v>1.67</v>
      </c>
      <c r="K12" s="7">
        <v>1.44</v>
      </c>
      <c r="N12" t="str">
        <f>E12&amp;"_"&amp;G12&amp;"_"&amp;I12</f>
        <v>England_Panama_Ghana</v>
      </c>
      <c r="R12" t="str">
        <f t="shared" si="1"/>
        <v>CroatiaPanama</v>
      </c>
    </row>
    <row r="13" spans="1:18" x14ac:dyDescent="0.25">
      <c r="A13" s="9" t="s">
        <v>47</v>
      </c>
      <c r="B13" s="10" t="s">
        <v>15</v>
      </c>
      <c r="C13" s="10"/>
      <c r="D13" s="7">
        <v>15</v>
      </c>
      <c r="E13" s="7" t="s">
        <v>46</v>
      </c>
      <c r="F13" s="15">
        <v>1.04</v>
      </c>
      <c r="G13" s="7" t="s">
        <v>49</v>
      </c>
      <c r="H13" s="8">
        <v>1.53</v>
      </c>
      <c r="I13" s="7" t="s">
        <v>48</v>
      </c>
      <c r="J13" s="8">
        <v>1.67</v>
      </c>
      <c r="K13" s="29">
        <v>1.04</v>
      </c>
      <c r="L13"/>
      <c r="M13"/>
      <c r="N13" s="31" t="str">
        <f>E13&amp;"_"&amp;G13&amp;"_"&amp;I13</f>
        <v>Curaçao_Ivory Coast_Ecuador</v>
      </c>
      <c r="R13" t="str">
        <f t="shared" si="1"/>
        <v>GermanyIvory Coast</v>
      </c>
    </row>
    <row r="14" spans="1:18" x14ac:dyDescent="0.25">
      <c r="A14" s="13" t="s">
        <v>28</v>
      </c>
      <c r="B14" s="14" t="s">
        <v>22</v>
      </c>
      <c r="C14" s="14" t="s">
        <v>63</v>
      </c>
      <c r="D14" s="7">
        <v>51</v>
      </c>
      <c r="E14" s="7" t="s">
        <v>29</v>
      </c>
      <c r="F14" s="15">
        <v>1.2</v>
      </c>
      <c r="G14" s="7" t="s">
        <v>26</v>
      </c>
      <c r="H14" s="8">
        <v>1.57</v>
      </c>
      <c r="I14" s="7" t="s">
        <v>27</v>
      </c>
      <c r="J14" s="7">
        <v>2.1</v>
      </c>
      <c r="K14" s="7">
        <v>1.2</v>
      </c>
      <c r="L14" s="17" t="s">
        <v>66</v>
      </c>
      <c r="N14" t="str">
        <f>E14&amp;"_"&amp;G14&amp;"_"&amp;I14</f>
        <v>Qatar_Bosnia/Herzeg_Canada</v>
      </c>
      <c r="R14" t="str">
        <f t="shared" si="1"/>
        <v>SwitzerlandBosnia/Herzeg</v>
      </c>
    </row>
    <row r="15" spans="1:18" x14ac:dyDescent="0.25">
      <c r="A15" s="5" t="s">
        <v>10</v>
      </c>
      <c r="B15" s="6" t="s">
        <v>11</v>
      </c>
      <c r="C15" s="6" t="s">
        <v>63</v>
      </c>
      <c r="D15" s="7">
        <v>301</v>
      </c>
      <c r="E15" s="7" t="s">
        <v>12</v>
      </c>
      <c r="F15" s="7">
        <v>8</v>
      </c>
      <c r="G15" s="7" t="s">
        <v>13</v>
      </c>
      <c r="H15" s="8">
        <v>1.57</v>
      </c>
      <c r="I15" s="7" t="s">
        <v>14</v>
      </c>
      <c r="J15" s="7">
        <v>3.2</v>
      </c>
      <c r="K15" s="29">
        <v>1.57</v>
      </c>
      <c r="N15" s="31" t="str">
        <f>E15&amp;"_"&amp;G15&amp;"_"&amp;I15</f>
        <v>Argentina_Jordan_Austria</v>
      </c>
      <c r="R15" t="str">
        <f t="shared" si="1"/>
        <v>AlgeriaJordan</v>
      </c>
    </row>
    <row r="16" spans="1:18" x14ac:dyDescent="0.25">
      <c r="A16" s="9" t="s">
        <v>59</v>
      </c>
      <c r="B16" s="10" t="s">
        <v>15</v>
      </c>
      <c r="C16" s="10"/>
      <c r="D16" s="7">
        <v>17</v>
      </c>
      <c r="E16" s="7" t="s">
        <v>58</v>
      </c>
      <c r="F16" s="8">
        <v>1.91</v>
      </c>
      <c r="G16" s="7" t="s">
        <v>61</v>
      </c>
      <c r="H16" s="8">
        <v>1.62</v>
      </c>
      <c r="I16" s="7" t="s">
        <v>60</v>
      </c>
      <c r="J16" s="8">
        <v>1.5</v>
      </c>
      <c r="K16" s="7">
        <v>1.5</v>
      </c>
      <c r="L16"/>
      <c r="M16"/>
      <c r="N16" t="str">
        <f>E16&amp;"_"&amp;G16&amp;"_"&amp;I16</f>
        <v>Japan_Sweden_Tunisia</v>
      </c>
      <c r="R16" t="str">
        <f t="shared" si="1"/>
        <v>NetherlandsSweden</v>
      </c>
    </row>
    <row r="17" spans="1:18" ht="15.75" thickBot="1" x14ac:dyDescent="0.3">
      <c r="A17" s="9" t="s">
        <v>12</v>
      </c>
      <c r="B17" s="10" t="s">
        <v>15</v>
      </c>
      <c r="C17" s="10"/>
      <c r="D17" s="7">
        <v>10</v>
      </c>
      <c r="E17" s="7" t="s">
        <v>10</v>
      </c>
      <c r="F17" s="25">
        <v>1.4</v>
      </c>
      <c r="G17" s="7" t="s">
        <v>14</v>
      </c>
      <c r="H17" s="8">
        <v>1.65</v>
      </c>
      <c r="I17" s="7" t="s">
        <v>13</v>
      </c>
      <c r="J17" s="15">
        <v>1.18</v>
      </c>
      <c r="K17" s="29">
        <v>1.18</v>
      </c>
      <c r="L17"/>
      <c r="M17"/>
      <c r="N17" s="31" t="str">
        <f>E17&amp;"_"&amp;G17&amp;"_"&amp;I17</f>
        <v>Algeria_Austria_Jordan</v>
      </c>
      <c r="R17" t="str">
        <f t="shared" si="1"/>
        <v>ArgentinaAustria</v>
      </c>
    </row>
    <row r="18" spans="1:18" ht="15.75" thickBot="1" x14ac:dyDescent="0.3">
      <c r="A18" s="11" t="s">
        <v>18</v>
      </c>
      <c r="B18" s="12" t="s">
        <v>20</v>
      </c>
      <c r="C18" s="12" t="s">
        <v>63</v>
      </c>
      <c r="D18" s="7">
        <v>67</v>
      </c>
      <c r="E18" s="18" t="s">
        <v>19</v>
      </c>
      <c r="F18" s="27">
        <v>1.95</v>
      </c>
      <c r="G18" s="19" t="s">
        <v>16</v>
      </c>
      <c r="H18" s="8">
        <v>1.7</v>
      </c>
      <c r="I18" s="7" t="s">
        <v>17</v>
      </c>
      <c r="J18" s="7">
        <v>2.4500000000000002</v>
      </c>
      <c r="K18" s="7">
        <v>1.7</v>
      </c>
      <c r="N18" t="str">
        <f>E18&amp;"_"&amp;G18&amp;"_"&amp;I18</f>
        <v>Paraguay_Australia_Turkey</v>
      </c>
      <c r="R18" t="str">
        <f t="shared" si="1"/>
        <v>USAAustralia</v>
      </c>
    </row>
    <row r="19" spans="1:18" x14ac:dyDescent="0.25">
      <c r="A19" s="5" t="s">
        <v>23</v>
      </c>
      <c r="B19" s="6" t="s">
        <v>11</v>
      </c>
      <c r="C19" s="6" t="s">
        <v>63</v>
      </c>
      <c r="D19" s="7">
        <v>301</v>
      </c>
      <c r="E19" s="7" t="s">
        <v>21</v>
      </c>
      <c r="F19" s="21">
        <v>4.8</v>
      </c>
      <c r="G19" s="7" t="s">
        <v>25</v>
      </c>
      <c r="H19" s="8">
        <v>1.7</v>
      </c>
      <c r="I19" s="7" t="s">
        <v>24</v>
      </c>
      <c r="J19" s="7">
        <v>2.25</v>
      </c>
      <c r="K19" s="29">
        <v>1.7</v>
      </c>
      <c r="N19" s="31" t="str">
        <f>E19&amp;"_"&amp;G19&amp;"_"&amp;I19</f>
        <v>Belgium_New Zealand_Iran</v>
      </c>
      <c r="R19" t="str">
        <f t="shared" si="1"/>
        <v>EgyptNew Zealand</v>
      </c>
    </row>
    <row r="20" spans="1:18" x14ac:dyDescent="0.25">
      <c r="A20" s="13" t="s">
        <v>58</v>
      </c>
      <c r="B20" s="14" t="s">
        <v>22</v>
      </c>
      <c r="C20" s="14" t="s">
        <v>63</v>
      </c>
      <c r="D20" s="7">
        <v>51</v>
      </c>
      <c r="E20" s="7" t="s">
        <v>59</v>
      </c>
      <c r="F20" s="7">
        <v>3.6</v>
      </c>
      <c r="G20" s="7" t="s">
        <v>60</v>
      </c>
      <c r="H20" s="8">
        <v>1.75</v>
      </c>
      <c r="I20" s="7" t="s">
        <v>61</v>
      </c>
      <c r="J20" s="7">
        <v>2.0499999999999998</v>
      </c>
      <c r="K20" s="7">
        <v>1.75</v>
      </c>
      <c r="N20" t="str">
        <f>E20&amp;"_"&amp;G20&amp;"_"&amp;I20</f>
        <v>Netherlands_Tunisia_Sweden</v>
      </c>
      <c r="R20" t="str">
        <f t="shared" si="1"/>
        <v>JapanTunisia</v>
      </c>
    </row>
    <row r="21" spans="1:18" ht="15.75" thickBot="1" x14ac:dyDescent="0.3">
      <c r="A21" s="11" t="s">
        <v>53</v>
      </c>
      <c r="B21" s="12" t="s">
        <v>20</v>
      </c>
      <c r="C21" s="12" t="s">
        <v>63</v>
      </c>
      <c r="D21" s="7">
        <v>67</v>
      </c>
      <c r="E21" s="7" t="s">
        <v>52</v>
      </c>
      <c r="F21" s="25">
        <v>1.44</v>
      </c>
      <c r="G21" s="7" t="s">
        <v>51</v>
      </c>
      <c r="H21" s="8">
        <v>1.8</v>
      </c>
      <c r="I21" s="7" t="s">
        <v>50</v>
      </c>
      <c r="J21" s="8">
        <v>1.85</v>
      </c>
      <c r="K21" s="7">
        <v>1.44</v>
      </c>
      <c r="N21" t="str">
        <f>E21&amp;"_"&amp;G21&amp;"_"&amp;I21</f>
        <v>South Africa_South Korea_Czech Rep</v>
      </c>
      <c r="R21" t="str">
        <f t="shared" si="1"/>
        <v>MexicoSouth Korea</v>
      </c>
    </row>
    <row r="22" spans="1:18" ht="15.75" thickBot="1" x14ac:dyDescent="0.3">
      <c r="A22" s="11" t="s">
        <v>50</v>
      </c>
      <c r="B22" s="12" t="s">
        <v>20</v>
      </c>
      <c r="C22" s="12" t="s">
        <v>64</v>
      </c>
      <c r="D22" s="7">
        <v>201</v>
      </c>
      <c r="E22" s="18" t="s">
        <v>51</v>
      </c>
      <c r="F22" s="26">
        <v>2.75</v>
      </c>
      <c r="G22" s="19" t="s">
        <v>52</v>
      </c>
      <c r="H22" s="16">
        <v>1.95</v>
      </c>
      <c r="I22" s="7" t="s">
        <v>53</v>
      </c>
      <c r="J22" s="7">
        <v>4.2</v>
      </c>
      <c r="K22" s="7">
        <v>1.95</v>
      </c>
      <c r="N22" t="str">
        <f>E22&amp;"_"&amp;G22&amp;"_"&amp;I22</f>
        <v>South Korea_South Africa_Mexico</v>
      </c>
      <c r="R22" t="str">
        <f t="shared" si="1"/>
        <v>Czech RepSouth Africa</v>
      </c>
    </row>
    <row r="23" spans="1:18" x14ac:dyDescent="0.25">
      <c r="A23" s="11" t="s">
        <v>31</v>
      </c>
      <c r="B23" s="12" t="s">
        <v>20</v>
      </c>
      <c r="C23" s="12" t="s">
        <v>63</v>
      </c>
      <c r="D23" s="7">
        <v>67</v>
      </c>
      <c r="E23" s="7" t="s">
        <v>30</v>
      </c>
      <c r="F23" s="21">
        <v>5</v>
      </c>
      <c r="G23" s="7" t="s">
        <v>33</v>
      </c>
      <c r="H23" s="7">
        <v>2</v>
      </c>
      <c r="I23" s="7" t="s">
        <v>32</v>
      </c>
      <c r="J23" s="15">
        <v>1.3</v>
      </c>
      <c r="K23" s="29">
        <v>1.3</v>
      </c>
      <c r="L23" s="17" t="s">
        <v>70</v>
      </c>
      <c r="N23" s="31" t="str">
        <f>E23&amp;"_"&amp;G23&amp;"_"&amp;I23</f>
        <v>Brazil_Scotland_Haiti</v>
      </c>
      <c r="R23" t="str">
        <f t="shared" si="1"/>
        <v>MoroccoScotland</v>
      </c>
    </row>
    <row r="24" spans="1:18" x14ac:dyDescent="0.25">
      <c r="A24" s="13" t="s">
        <v>57</v>
      </c>
      <c r="B24" s="14" t="s">
        <v>22</v>
      </c>
      <c r="C24" s="14" t="s">
        <v>63</v>
      </c>
      <c r="D24" s="7">
        <v>29</v>
      </c>
      <c r="E24" s="7" t="s">
        <v>56</v>
      </c>
      <c r="F24" s="15">
        <v>1.2</v>
      </c>
      <c r="G24" s="7" t="s">
        <v>55</v>
      </c>
      <c r="H24" s="7">
        <v>2.0499999999999998</v>
      </c>
      <c r="I24" s="7" t="s">
        <v>54</v>
      </c>
      <c r="J24" s="7">
        <v>4</v>
      </c>
      <c r="K24" s="7">
        <v>1.2</v>
      </c>
      <c r="L24" s="17" t="s">
        <v>66</v>
      </c>
      <c r="M24" s="17" t="s">
        <v>68</v>
      </c>
      <c r="N24" t="str">
        <f>E24&amp;"_"&amp;G24&amp;"_"&amp;I24</f>
        <v>Iraq_Senegal_France</v>
      </c>
      <c r="R24" t="str">
        <f t="shared" si="1"/>
        <v>NorwaySenegal</v>
      </c>
    </row>
    <row r="25" spans="1:18" x14ac:dyDescent="0.25">
      <c r="A25" s="11" t="s">
        <v>17</v>
      </c>
      <c r="B25" s="12" t="s">
        <v>20</v>
      </c>
      <c r="C25" s="12" t="s">
        <v>63</v>
      </c>
      <c r="D25" s="7">
        <v>81</v>
      </c>
      <c r="E25" s="7" t="s">
        <v>16</v>
      </c>
      <c r="F25" s="8">
        <v>1.75</v>
      </c>
      <c r="G25" s="7" t="s">
        <v>19</v>
      </c>
      <c r="H25" s="7">
        <v>2.2000000000000002</v>
      </c>
      <c r="I25" s="7" t="s">
        <v>18</v>
      </c>
      <c r="J25" s="7">
        <v>2.62</v>
      </c>
      <c r="K25" s="7">
        <v>1.75</v>
      </c>
      <c r="N25" t="str">
        <f>E25&amp;"_"&amp;G25&amp;"_"&amp;I25</f>
        <v>Australia_Paraguay_USA</v>
      </c>
      <c r="R25" t="str">
        <f t="shared" si="1"/>
        <v>TurkeyParaguay</v>
      </c>
    </row>
    <row r="26" spans="1:18" x14ac:dyDescent="0.25">
      <c r="A26" s="11" t="s">
        <v>19</v>
      </c>
      <c r="B26" s="12" t="s">
        <v>20</v>
      </c>
      <c r="C26" s="12" t="s">
        <v>63</v>
      </c>
      <c r="D26" s="7">
        <v>151</v>
      </c>
      <c r="E26" s="7" t="s">
        <v>18</v>
      </c>
      <c r="F26" s="7">
        <v>3.7</v>
      </c>
      <c r="G26" s="7" t="s">
        <v>17</v>
      </c>
      <c r="H26" s="7">
        <v>3.25</v>
      </c>
      <c r="I26" s="7" t="s">
        <v>16</v>
      </c>
      <c r="J26" s="7">
        <v>2.15</v>
      </c>
      <c r="K26" s="7">
        <v>2.15</v>
      </c>
      <c r="N26" t="str">
        <f>E26&amp;"_"&amp;G26&amp;"_"&amp;I26</f>
        <v>USA_Turkey_Australia</v>
      </c>
      <c r="R26" t="str">
        <f t="shared" si="1"/>
        <v>ParaguayTurkey</v>
      </c>
    </row>
    <row r="27" spans="1:18" x14ac:dyDescent="0.25">
      <c r="A27" s="11" t="s">
        <v>55</v>
      </c>
      <c r="B27" s="12" t="s">
        <v>20</v>
      </c>
      <c r="C27" s="12" t="s">
        <v>63</v>
      </c>
      <c r="D27" s="7">
        <v>101</v>
      </c>
      <c r="E27" s="7" t="s">
        <v>54</v>
      </c>
      <c r="F27" s="7">
        <v>6.5</v>
      </c>
      <c r="G27" s="7" t="s">
        <v>57</v>
      </c>
      <c r="H27" s="7">
        <v>3.3</v>
      </c>
      <c r="I27" s="7" t="s">
        <v>56</v>
      </c>
      <c r="J27" s="15">
        <v>1.44</v>
      </c>
      <c r="K27" s="7">
        <v>1.44</v>
      </c>
      <c r="L27" s="17" t="s">
        <v>70</v>
      </c>
      <c r="N27" t="str">
        <f>E27&amp;"_"&amp;G27&amp;"_"&amp;I27</f>
        <v>France_Norway_Iraq</v>
      </c>
      <c r="R27" t="str">
        <f t="shared" si="1"/>
        <v>SenegalNorway</v>
      </c>
    </row>
    <row r="28" spans="1:18" x14ac:dyDescent="0.25">
      <c r="A28" s="11" t="s">
        <v>33</v>
      </c>
      <c r="B28" s="12" t="s">
        <v>20</v>
      </c>
      <c r="C28" s="12" t="s">
        <v>63</v>
      </c>
      <c r="D28" s="7">
        <v>151</v>
      </c>
      <c r="E28" s="7" t="s">
        <v>32</v>
      </c>
      <c r="F28" s="15">
        <v>1.44</v>
      </c>
      <c r="G28" s="7" t="s">
        <v>31</v>
      </c>
      <c r="H28" s="7">
        <v>3.8</v>
      </c>
      <c r="I28" s="7" t="s">
        <v>30</v>
      </c>
      <c r="J28" s="7">
        <v>6</v>
      </c>
      <c r="K28" s="29">
        <v>1.44</v>
      </c>
      <c r="N28" s="31" t="str">
        <f>E28&amp;"_"&amp;G28&amp;"_"&amp;I28</f>
        <v>Haiti_Morocco_Brazil</v>
      </c>
      <c r="R28" t="str">
        <f t="shared" si="1"/>
        <v>ScotlandMorocco</v>
      </c>
    </row>
    <row r="29" spans="1:18" x14ac:dyDescent="0.25">
      <c r="A29" s="5" t="s">
        <v>52</v>
      </c>
      <c r="B29" s="6" t="s">
        <v>11</v>
      </c>
      <c r="C29" s="6" t="s">
        <v>64</v>
      </c>
      <c r="D29" s="7">
        <v>501</v>
      </c>
      <c r="E29" s="7" t="s">
        <v>53</v>
      </c>
      <c r="F29" s="7">
        <v>7</v>
      </c>
      <c r="G29" s="7" t="s">
        <v>50</v>
      </c>
      <c r="H29" s="7">
        <v>3.9</v>
      </c>
      <c r="I29" s="7" t="s">
        <v>51</v>
      </c>
      <c r="J29" s="7">
        <v>3.8</v>
      </c>
      <c r="K29" s="7">
        <v>3.8</v>
      </c>
      <c r="N29" t="str">
        <f>E29&amp;"_"&amp;G29&amp;"_"&amp;I29</f>
        <v>Mexico_Czech Rep_South Korea</v>
      </c>
      <c r="R29" t="str">
        <f t="shared" si="1"/>
        <v>South AfricaCzech Rep</v>
      </c>
    </row>
    <row r="30" spans="1:18" x14ac:dyDescent="0.25">
      <c r="A30" s="5" t="s">
        <v>51</v>
      </c>
      <c r="B30" s="6" t="s">
        <v>11</v>
      </c>
      <c r="C30" s="6" t="s">
        <v>64</v>
      </c>
      <c r="D30" s="7">
        <v>301</v>
      </c>
      <c r="E30" s="7" t="s">
        <v>50</v>
      </c>
      <c r="F30" s="7">
        <v>2.5</v>
      </c>
      <c r="G30" s="7" t="s">
        <v>53</v>
      </c>
      <c r="H30" s="7">
        <v>4.2</v>
      </c>
      <c r="I30" s="7" t="s">
        <v>52</v>
      </c>
      <c r="J30" s="16">
        <v>1.95</v>
      </c>
      <c r="K30" s="7">
        <v>1.95</v>
      </c>
      <c r="N30" t="str">
        <f>E30&amp;"_"&amp;G30&amp;"_"&amp;I30</f>
        <v>Czech Rep_Mexico_South Africa</v>
      </c>
      <c r="R30" t="str">
        <f t="shared" si="1"/>
        <v>South KoreaMexico</v>
      </c>
    </row>
    <row r="31" spans="1:18" x14ac:dyDescent="0.25">
      <c r="A31" s="5" t="s">
        <v>16</v>
      </c>
      <c r="B31" s="6" t="s">
        <v>11</v>
      </c>
      <c r="C31" s="6" t="s">
        <v>64</v>
      </c>
      <c r="D31" s="7">
        <v>501</v>
      </c>
      <c r="E31" s="7" t="s">
        <v>17</v>
      </c>
      <c r="F31" s="7">
        <v>4.4000000000000004</v>
      </c>
      <c r="G31" s="7" t="s">
        <v>18</v>
      </c>
      <c r="H31" s="7">
        <v>4.5</v>
      </c>
      <c r="I31" s="7" t="s">
        <v>19</v>
      </c>
      <c r="J31" s="7">
        <v>3.3</v>
      </c>
      <c r="K31" s="7">
        <v>3.3</v>
      </c>
      <c r="N31" t="str">
        <f>E31&amp;"_"&amp;G31&amp;"_"&amp;I31</f>
        <v>Turkey_USA_Paraguay</v>
      </c>
      <c r="R31" t="str">
        <f t="shared" si="1"/>
        <v>AustraliaUSA</v>
      </c>
    </row>
    <row r="32" spans="1:18" x14ac:dyDescent="0.25">
      <c r="A32" s="5" t="s">
        <v>60</v>
      </c>
      <c r="B32" s="6" t="s">
        <v>11</v>
      </c>
      <c r="C32" s="6" t="s">
        <v>64</v>
      </c>
      <c r="D32" s="7">
        <v>501</v>
      </c>
      <c r="E32" s="7" t="s">
        <v>61</v>
      </c>
      <c r="F32" s="7">
        <v>4</v>
      </c>
      <c r="G32" s="7" t="s">
        <v>58</v>
      </c>
      <c r="H32" s="7">
        <v>4.5</v>
      </c>
      <c r="I32" s="7" t="s">
        <v>59</v>
      </c>
      <c r="J32" s="7">
        <v>6</v>
      </c>
      <c r="K32" s="7">
        <v>4</v>
      </c>
      <c r="N32" t="str">
        <f>E32&amp;"_"&amp;G32&amp;"_"&amp;I32</f>
        <v>Sweden_Japan_Netherlands</v>
      </c>
      <c r="R32" t="str">
        <f t="shared" si="1"/>
        <v>TunisiaJapan</v>
      </c>
    </row>
    <row r="33" spans="1:18" x14ac:dyDescent="0.25">
      <c r="A33" s="5" t="s">
        <v>25</v>
      </c>
      <c r="B33" s="6" t="s">
        <v>11</v>
      </c>
      <c r="C33" s="6" t="s">
        <v>64</v>
      </c>
      <c r="D33" s="7">
        <v>1501</v>
      </c>
      <c r="E33" s="7" t="s">
        <v>24</v>
      </c>
      <c r="F33" s="7">
        <v>4</v>
      </c>
      <c r="G33" s="7" t="s">
        <v>23</v>
      </c>
      <c r="H33" s="7">
        <v>4.5999999999999996</v>
      </c>
      <c r="I33" s="7" t="s">
        <v>21</v>
      </c>
      <c r="J33" s="7">
        <v>9.5</v>
      </c>
      <c r="K33" s="7">
        <v>4</v>
      </c>
      <c r="N33" s="28" t="str">
        <f>E33&amp;"_"&amp;G33&amp;"_"&amp;I33</f>
        <v>Iran_Egypt_Belgium</v>
      </c>
      <c r="R33" t="str">
        <f t="shared" si="1"/>
        <v>New ZealandEgypt</v>
      </c>
    </row>
    <row r="34" spans="1:18" x14ac:dyDescent="0.25">
      <c r="A34" s="11" t="s">
        <v>61</v>
      </c>
      <c r="B34" s="12" t="s">
        <v>20</v>
      </c>
      <c r="C34" s="12" t="s">
        <v>63</v>
      </c>
      <c r="D34" s="7">
        <v>67</v>
      </c>
      <c r="E34" s="7" t="s">
        <v>60</v>
      </c>
      <c r="F34" s="8">
        <v>1.91</v>
      </c>
      <c r="G34" s="7" t="s">
        <v>59</v>
      </c>
      <c r="H34" s="7">
        <v>4.8</v>
      </c>
      <c r="I34" s="7" t="s">
        <v>58</v>
      </c>
      <c r="J34" s="7">
        <v>3.4</v>
      </c>
      <c r="K34" s="7">
        <v>1.91</v>
      </c>
      <c r="N34" t="str">
        <f>E34&amp;"_"&amp;G34&amp;"_"&amp;I34</f>
        <v>Tunisia_Netherlands_Japan</v>
      </c>
      <c r="R34" t="str">
        <f t="shared" si="1"/>
        <v>SwedenNetherlands</v>
      </c>
    </row>
    <row r="35" spans="1:18" x14ac:dyDescent="0.25">
      <c r="A35" s="11" t="s">
        <v>14</v>
      </c>
      <c r="B35" s="12" t="s">
        <v>20</v>
      </c>
      <c r="C35" s="12" t="s">
        <v>63</v>
      </c>
      <c r="D35" s="7">
        <v>101</v>
      </c>
      <c r="E35" s="7" t="s">
        <v>13</v>
      </c>
      <c r="F35" s="15">
        <v>1.3</v>
      </c>
      <c r="G35" s="7" t="s">
        <v>12</v>
      </c>
      <c r="H35" s="7">
        <v>5</v>
      </c>
      <c r="I35" s="7" t="s">
        <v>10</v>
      </c>
      <c r="J35" s="7">
        <v>2.25</v>
      </c>
      <c r="K35" s="29">
        <v>1.3</v>
      </c>
      <c r="L35" s="17" t="s">
        <v>66</v>
      </c>
      <c r="N35" s="31" t="str">
        <f>E35&amp;"_"&amp;G35&amp;"_"&amp;I35</f>
        <v>Jordan_Argentina_Algeria</v>
      </c>
      <c r="R35" t="str">
        <f t="shared" si="1"/>
        <v>AustriaArgentina</v>
      </c>
    </row>
    <row r="36" spans="1:18" x14ac:dyDescent="0.25">
      <c r="A36" s="11" t="s">
        <v>49</v>
      </c>
      <c r="B36" s="12" t="s">
        <v>20</v>
      </c>
      <c r="C36" s="12" t="s">
        <v>63</v>
      </c>
      <c r="D36" s="7">
        <v>151</v>
      </c>
      <c r="E36" s="7" t="s">
        <v>48</v>
      </c>
      <c r="F36" s="7">
        <v>3.3</v>
      </c>
      <c r="G36" s="7" t="s">
        <v>47</v>
      </c>
      <c r="H36" s="7">
        <v>5.5</v>
      </c>
      <c r="I36" s="7" t="s">
        <v>46</v>
      </c>
      <c r="J36" s="15">
        <v>1.2</v>
      </c>
      <c r="K36" s="29">
        <v>1.2</v>
      </c>
      <c r="L36" s="17" t="s">
        <v>70</v>
      </c>
      <c r="N36" s="31" t="str">
        <f>E36&amp;"_"&amp;G36&amp;"_"&amp;I36</f>
        <v>Ecuador_Germany_Curaçao</v>
      </c>
      <c r="R36" t="str">
        <f t="shared" si="1"/>
        <v>Ivory CoastGermany</v>
      </c>
    </row>
    <row r="37" spans="1:18" ht="15.75" thickBot="1" x14ac:dyDescent="0.3">
      <c r="A37" s="11" t="s">
        <v>26</v>
      </c>
      <c r="B37" s="12" t="s">
        <v>20</v>
      </c>
      <c r="C37" s="12" t="s">
        <v>64</v>
      </c>
      <c r="D37" s="7">
        <v>201</v>
      </c>
      <c r="E37" s="7" t="s">
        <v>27</v>
      </c>
      <c r="F37" s="7">
        <v>4.2</v>
      </c>
      <c r="G37" s="7" t="s">
        <v>28</v>
      </c>
      <c r="H37" s="20">
        <v>5.5</v>
      </c>
      <c r="I37" s="7" t="s">
        <v>29</v>
      </c>
      <c r="J37" s="16">
        <v>1.55</v>
      </c>
      <c r="K37" s="7">
        <v>1.55</v>
      </c>
      <c r="L37" s="17" t="s">
        <v>72</v>
      </c>
      <c r="N37" t="str">
        <f>E37&amp;"_"&amp;G37&amp;"_"&amp;I37</f>
        <v>Canada_Switzerland_Qatar</v>
      </c>
      <c r="R37" t="str">
        <f t="shared" si="1"/>
        <v>Bosnia/HerzegSwitzerland</v>
      </c>
    </row>
    <row r="38" spans="1:18" ht="15.75" thickBot="1" x14ac:dyDescent="0.3">
      <c r="A38" s="5" t="s">
        <v>13</v>
      </c>
      <c r="B38" s="6" t="s">
        <v>11</v>
      </c>
      <c r="C38" s="6" t="s">
        <v>64</v>
      </c>
      <c r="D38" s="7">
        <v>2001</v>
      </c>
      <c r="E38" s="7" t="s">
        <v>14</v>
      </c>
      <c r="F38" s="7">
        <v>8.5</v>
      </c>
      <c r="G38" s="18" t="s">
        <v>10</v>
      </c>
      <c r="H38" s="26">
        <v>5.5</v>
      </c>
      <c r="I38" s="19" t="s">
        <v>12</v>
      </c>
      <c r="J38" s="7">
        <v>13</v>
      </c>
      <c r="K38" s="7">
        <v>5.5</v>
      </c>
      <c r="N38" t="str">
        <f>E38&amp;"_"&amp;G38&amp;"_"&amp;I38</f>
        <v>Austria_Algeria_Argentina</v>
      </c>
      <c r="R38" t="str">
        <f t="shared" si="1"/>
        <v>JordanAlgeria</v>
      </c>
    </row>
    <row r="39" spans="1:18" ht="15.75" thickBot="1" x14ac:dyDescent="0.3">
      <c r="A39" s="5" t="s">
        <v>40</v>
      </c>
      <c r="B39" s="6" t="s">
        <v>11</v>
      </c>
      <c r="C39" s="6" t="s">
        <v>64</v>
      </c>
      <c r="D39" s="7">
        <v>751</v>
      </c>
      <c r="E39" s="7" t="s">
        <v>41</v>
      </c>
      <c r="F39" s="7">
        <v>9.5</v>
      </c>
      <c r="G39" s="18" t="s">
        <v>38</v>
      </c>
      <c r="H39" s="26">
        <v>7</v>
      </c>
      <c r="I39" s="19" t="s">
        <v>39</v>
      </c>
      <c r="J39" s="7">
        <v>2.2999999999999998</v>
      </c>
      <c r="K39" s="29">
        <v>2.2999999999999998</v>
      </c>
      <c r="N39" s="31" t="str">
        <f>E39&amp;"_"&amp;G39&amp;"_"&amp;I39</f>
        <v>Portugal_Colombia_Uzbekistan</v>
      </c>
      <c r="R39" t="str">
        <f t="shared" si="1"/>
        <v>DR CongoColombia</v>
      </c>
    </row>
    <row r="40" spans="1:18" x14ac:dyDescent="0.25">
      <c r="A40" s="5" t="s">
        <v>24</v>
      </c>
      <c r="B40" s="6" t="s">
        <v>11</v>
      </c>
      <c r="C40" s="6" t="s">
        <v>63</v>
      </c>
      <c r="D40" s="7">
        <v>501</v>
      </c>
      <c r="E40" s="7" t="s">
        <v>25</v>
      </c>
      <c r="F40" s="8">
        <v>1.8</v>
      </c>
      <c r="G40" s="7" t="s">
        <v>21</v>
      </c>
      <c r="H40" s="21">
        <v>7</v>
      </c>
      <c r="I40" s="7" t="s">
        <v>23</v>
      </c>
      <c r="J40" s="7">
        <v>3.3</v>
      </c>
      <c r="K40" s="29">
        <v>1.8</v>
      </c>
      <c r="N40" s="31" t="str">
        <f>E40&amp;"_"&amp;G40&amp;"_"&amp;I40</f>
        <v>New Zealand_Belgium_Egypt</v>
      </c>
      <c r="R40" t="str">
        <f t="shared" si="1"/>
        <v>IranBelgium</v>
      </c>
    </row>
    <row r="41" spans="1:18" x14ac:dyDescent="0.25">
      <c r="A41" s="5" t="s">
        <v>34</v>
      </c>
      <c r="B41" s="6" t="s">
        <v>11</v>
      </c>
      <c r="C41" s="6" t="s">
        <v>64</v>
      </c>
      <c r="D41" s="7">
        <v>1001</v>
      </c>
      <c r="E41" s="7" t="s">
        <v>35</v>
      </c>
      <c r="F41" s="7">
        <v>23</v>
      </c>
      <c r="G41" s="7" t="s">
        <v>36</v>
      </c>
      <c r="H41" s="7">
        <v>7</v>
      </c>
      <c r="I41" s="7" t="s">
        <v>37</v>
      </c>
      <c r="J41" s="7">
        <v>2.5</v>
      </c>
      <c r="K41" s="7">
        <v>2.5</v>
      </c>
      <c r="N41" t="str">
        <f>E41&amp;"_"&amp;G41&amp;"_"&amp;I41</f>
        <v>Spain_Uruguay_Saudi Arabia</v>
      </c>
      <c r="R41" t="str">
        <f t="shared" si="1"/>
        <v>Cape VerdeUruguay</v>
      </c>
    </row>
    <row r="42" spans="1:18" x14ac:dyDescent="0.25">
      <c r="A42" s="5" t="s">
        <v>44</v>
      </c>
      <c r="B42" s="6" t="s">
        <v>11</v>
      </c>
      <c r="C42" s="6" t="s">
        <v>64</v>
      </c>
      <c r="D42" s="7">
        <v>1001</v>
      </c>
      <c r="E42" s="7" t="s">
        <v>45</v>
      </c>
      <c r="F42" s="7">
        <v>3.5</v>
      </c>
      <c r="G42" s="7" t="s">
        <v>42</v>
      </c>
      <c r="H42" s="7">
        <v>7</v>
      </c>
      <c r="I42" s="7" t="s">
        <v>43</v>
      </c>
      <c r="J42" s="7">
        <v>8.5</v>
      </c>
      <c r="K42" s="7">
        <v>3.5</v>
      </c>
      <c r="N42" t="str">
        <f>E42&amp;"_"&amp;G42&amp;"_"&amp;I42</f>
        <v>Ghana_Croatia_England</v>
      </c>
      <c r="R42" t="str">
        <f t="shared" si="1"/>
        <v>PanamaCroatia</v>
      </c>
    </row>
    <row r="43" spans="1:18" x14ac:dyDescent="0.25">
      <c r="A43" s="5" t="s">
        <v>45</v>
      </c>
      <c r="B43" s="6" t="s">
        <v>11</v>
      </c>
      <c r="C43" s="6" t="s">
        <v>64</v>
      </c>
      <c r="D43" s="7">
        <v>251</v>
      </c>
      <c r="E43" s="7" t="s">
        <v>44</v>
      </c>
      <c r="F43" s="16">
        <v>1.95</v>
      </c>
      <c r="G43" s="7" t="s">
        <v>43</v>
      </c>
      <c r="H43" s="7">
        <v>9.5</v>
      </c>
      <c r="I43" s="7" t="s">
        <v>42</v>
      </c>
      <c r="J43" s="7">
        <v>5</v>
      </c>
      <c r="K43" s="7">
        <v>1.95</v>
      </c>
      <c r="N43" t="str">
        <f>E43&amp;"_"&amp;G43&amp;"_"&amp;I43</f>
        <v>Panama_England_Croatia</v>
      </c>
      <c r="R43" t="str">
        <f t="shared" si="1"/>
        <v>GhanaEngland</v>
      </c>
    </row>
    <row r="44" spans="1:18" x14ac:dyDescent="0.25">
      <c r="A44" s="5" t="s">
        <v>29</v>
      </c>
      <c r="B44" s="6" t="s">
        <v>11</v>
      </c>
      <c r="C44" s="6" t="s">
        <v>64</v>
      </c>
      <c r="D44" s="7">
        <v>1001</v>
      </c>
      <c r="E44" s="7" t="s">
        <v>28</v>
      </c>
      <c r="F44" s="7">
        <v>12</v>
      </c>
      <c r="G44" s="7" t="s">
        <v>27</v>
      </c>
      <c r="H44" s="7">
        <v>10</v>
      </c>
      <c r="I44" s="7" t="s">
        <v>26</v>
      </c>
      <c r="J44" s="7">
        <v>5.8</v>
      </c>
      <c r="K44" s="7">
        <v>5.8</v>
      </c>
      <c r="N44" t="str">
        <f>E44&amp;"_"&amp;G44&amp;"_"&amp;I44</f>
        <v>Switzerland_Canada_Bosnia/Herzeg</v>
      </c>
      <c r="R44" t="str">
        <f t="shared" si="1"/>
        <v>QatarCanada</v>
      </c>
    </row>
    <row r="45" spans="1:18" x14ac:dyDescent="0.25">
      <c r="A45" s="5" t="s">
        <v>39</v>
      </c>
      <c r="B45" s="6" t="s">
        <v>11</v>
      </c>
      <c r="C45" s="6" t="s">
        <v>64</v>
      </c>
      <c r="D45" s="7">
        <v>1501</v>
      </c>
      <c r="E45" s="7" t="s">
        <v>38</v>
      </c>
      <c r="F45" s="7">
        <v>6.5</v>
      </c>
      <c r="G45" s="7" t="s">
        <v>41</v>
      </c>
      <c r="H45" s="7">
        <v>11</v>
      </c>
      <c r="I45" s="7" t="s">
        <v>40</v>
      </c>
      <c r="J45" s="7">
        <v>3</v>
      </c>
      <c r="K45" s="7">
        <v>3</v>
      </c>
      <c r="N45" t="str">
        <f>E45&amp;"_"&amp;G45&amp;"_"&amp;I45</f>
        <v>Colombia_Portugal_DR Congo</v>
      </c>
      <c r="R45" t="str">
        <f t="shared" si="1"/>
        <v>UzbekistanPortugal</v>
      </c>
    </row>
    <row r="46" spans="1:18" x14ac:dyDescent="0.25">
      <c r="A46" s="5" t="s">
        <v>46</v>
      </c>
      <c r="B46" s="6" t="s">
        <v>11</v>
      </c>
      <c r="C46" s="6" t="s">
        <v>64</v>
      </c>
      <c r="D46" s="7">
        <v>2001</v>
      </c>
      <c r="E46" s="7" t="s">
        <v>47</v>
      </c>
      <c r="F46" s="7">
        <v>56</v>
      </c>
      <c r="G46" s="7" t="s">
        <v>48</v>
      </c>
      <c r="H46" s="7">
        <v>15</v>
      </c>
      <c r="I46" s="7" t="s">
        <v>49</v>
      </c>
      <c r="J46" s="7">
        <v>13</v>
      </c>
      <c r="K46" s="7">
        <v>13</v>
      </c>
      <c r="N46" t="str">
        <f>E46&amp;"_"&amp;G46&amp;"_"&amp;I46</f>
        <v>Germany_Ecuador_Ivory Coast</v>
      </c>
      <c r="R46" t="str">
        <f t="shared" si="1"/>
        <v>CuraçaoEcuador</v>
      </c>
    </row>
    <row r="47" spans="1:18" x14ac:dyDescent="0.25">
      <c r="A47" s="5" t="s">
        <v>37</v>
      </c>
      <c r="B47" s="6" t="s">
        <v>11</v>
      </c>
      <c r="C47" s="6" t="s">
        <v>64</v>
      </c>
      <c r="D47" s="7">
        <v>1001</v>
      </c>
      <c r="E47" s="7" t="s">
        <v>36</v>
      </c>
      <c r="F47" s="7">
        <v>6.5</v>
      </c>
      <c r="G47" s="7" t="s">
        <v>35</v>
      </c>
      <c r="H47" s="7">
        <v>23</v>
      </c>
      <c r="I47" s="7" t="s">
        <v>34</v>
      </c>
      <c r="J47" s="7">
        <v>2.62</v>
      </c>
      <c r="K47" s="7">
        <v>2.62</v>
      </c>
      <c r="N47" t="str">
        <f>E47&amp;"_"&amp;G47&amp;"_"&amp;I47</f>
        <v>Uruguay_Spain_Cape Verde</v>
      </c>
      <c r="R47" t="str">
        <f t="shared" si="1"/>
        <v>Saudi ArabiaSpain</v>
      </c>
    </row>
    <row r="48" spans="1:18" x14ac:dyDescent="0.25">
      <c r="A48" s="5" t="s">
        <v>56</v>
      </c>
      <c r="B48" s="6" t="s">
        <v>11</v>
      </c>
      <c r="C48" s="6" t="s">
        <v>64</v>
      </c>
      <c r="D48" s="7">
        <v>1001</v>
      </c>
      <c r="E48" s="7" t="s">
        <v>57</v>
      </c>
      <c r="F48" s="7">
        <v>13</v>
      </c>
      <c r="G48" s="7" t="s">
        <v>54</v>
      </c>
      <c r="H48" s="7">
        <v>23</v>
      </c>
      <c r="I48" s="7" t="s">
        <v>55</v>
      </c>
      <c r="J48" s="7">
        <v>6.5</v>
      </c>
      <c r="K48" s="7">
        <v>6.5</v>
      </c>
      <c r="N48" t="str">
        <f>E48&amp;"_"&amp;G48&amp;"_"&amp;I48</f>
        <v>Norway_France_Senegal</v>
      </c>
      <c r="R48" t="str">
        <f t="shared" si="1"/>
        <v>IraqFrance</v>
      </c>
    </row>
    <row r="49" spans="1:18" x14ac:dyDescent="0.25">
      <c r="A49" s="5" t="s">
        <v>32</v>
      </c>
      <c r="B49" s="6" t="s">
        <v>11</v>
      </c>
      <c r="C49" s="6" t="s">
        <v>64</v>
      </c>
      <c r="D49" s="7">
        <v>2001</v>
      </c>
      <c r="E49" s="7" t="s">
        <v>33</v>
      </c>
      <c r="F49" s="7">
        <v>6</v>
      </c>
      <c r="G49" s="7" t="s">
        <v>30</v>
      </c>
      <c r="H49" s="7">
        <v>34</v>
      </c>
      <c r="I49" s="7" t="s">
        <v>31</v>
      </c>
      <c r="J49" s="7">
        <v>10</v>
      </c>
      <c r="K49" s="7">
        <v>6</v>
      </c>
      <c r="N49" t="str">
        <f>E49&amp;"_"&amp;G49&amp;"_"&amp;I49</f>
        <v>Scotland_Brazil_Morocco</v>
      </c>
      <c r="R49" t="str">
        <f t="shared" si="1"/>
        <v>HaitiBrazil</v>
      </c>
    </row>
  </sheetData>
  <autoFilter ref="A1:N49" xr:uid="{00000000-0001-0000-0000-000000000000}"/>
  <sortState xmlns:xlrd2="http://schemas.microsoft.com/office/spreadsheetml/2017/richdata2" ref="A4:M49">
    <sortCondition ref="J4:J49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E4788-E262-4130-BE90-D5983A4DF9AB}">
  <sheetPr filterMode="1"/>
  <dimension ref="A1:O49"/>
  <sheetViews>
    <sheetView tabSelected="1" zoomScaleNormal="100" workbookViewId="0">
      <pane ySplit="1" topLeftCell="A10" activePane="bottomLeft" state="frozen"/>
      <selection pane="bottomLeft" activeCell="M21" sqref="M21"/>
    </sheetView>
  </sheetViews>
  <sheetFormatPr defaultColWidth="8.7109375" defaultRowHeight="15" x14ac:dyDescent="0.25"/>
  <cols>
    <col min="1" max="1" width="14" style="32" customWidth="1"/>
    <col min="2" max="2" width="8" style="32" customWidth="1"/>
    <col min="3" max="3" width="10" style="32" customWidth="1"/>
    <col min="4" max="4" width="11" style="32" customWidth="1"/>
    <col min="5" max="5" width="13" style="32" customWidth="1"/>
    <col min="6" max="6" width="10" style="32" customWidth="1"/>
    <col min="7" max="7" width="13" style="32" customWidth="1"/>
    <col min="8" max="8" width="10" style="32" customWidth="1"/>
    <col min="9" max="9" width="13" style="32" customWidth="1"/>
    <col min="10" max="10" width="10" style="32" customWidth="1"/>
    <col min="11" max="11" width="13" style="32" customWidth="1"/>
    <col min="12" max="16384" width="8.7109375" style="32"/>
  </cols>
  <sheetData>
    <row r="1" spans="1:15" ht="21.75" customHeight="1" thickBot="1" x14ac:dyDescent="0.3">
      <c r="A1" s="47" t="s">
        <v>0</v>
      </c>
      <c r="B1" s="47" t="s">
        <v>1</v>
      </c>
      <c r="C1" s="47" t="s">
        <v>62</v>
      </c>
      <c r="D1" s="47" t="s">
        <v>2</v>
      </c>
      <c r="E1" s="47" t="s">
        <v>3</v>
      </c>
      <c r="F1" s="47" t="s">
        <v>4</v>
      </c>
      <c r="G1" s="47" t="s">
        <v>5</v>
      </c>
      <c r="H1" s="47" t="s">
        <v>6</v>
      </c>
      <c r="I1" s="47" t="s">
        <v>7</v>
      </c>
      <c r="J1" s="47" t="s">
        <v>8</v>
      </c>
      <c r="K1" s="47" t="s">
        <v>9</v>
      </c>
      <c r="M1" s="32" t="s">
        <v>76</v>
      </c>
    </row>
    <row r="2" spans="1:15" ht="15.75" hidden="1" thickBot="1" x14ac:dyDescent="0.3">
      <c r="A2" s="46" t="s">
        <v>54</v>
      </c>
      <c r="B2" s="45" t="s">
        <v>15</v>
      </c>
      <c r="C2" s="40" t="s">
        <v>75</v>
      </c>
      <c r="D2" s="37">
        <v>5</v>
      </c>
      <c r="E2" s="35" t="s">
        <v>55</v>
      </c>
      <c r="F2" s="34">
        <v>1.44</v>
      </c>
      <c r="G2" s="35" t="s">
        <v>56</v>
      </c>
      <c r="H2" s="36">
        <v>1.08</v>
      </c>
      <c r="I2" s="35" t="s">
        <v>57</v>
      </c>
      <c r="J2" s="34">
        <v>1.8</v>
      </c>
      <c r="K2" s="33">
        <f>MIN(F2,H2,J2)</f>
        <v>1.08</v>
      </c>
    </row>
    <row r="3" spans="1:15" ht="15.75" hidden="1" thickBot="1" x14ac:dyDescent="0.3">
      <c r="A3" s="46" t="s">
        <v>35</v>
      </c>
      <c r="B3" s="45" t="s">
        <v>15</v>
      </c>
      <c r="C3" s="40" t="s">
        <v>75</v>
      </c>
      <c r="D3" s="37">
        <v>6</v>
      </c>
      <c r="E3" s="35" t="s">
        <v>34</v>
      </c>
      <c r="F3" s="36">
        <v>1.1000000000000001</v>
      </c>
      <c r="G3" s="35" t="s">
        <v>37</v>
      </c>
      <c r="H3" s="34">
        <v>1.1000000000000001</v>
      </c>
      <c r="I3" s="35" t="s">
        <v>36</v>
      </c>
      <c r="J3" s="34">
        <v>1.55</v>
      </c>
      <c r="K3" s="33">
        <f>MIN(F3,H3,J3)</f>
        <v>1.1000000000000001</v>
      </c>
    </row>
    <row r="4" spans="1:15" ht="15.75" hidden="1" thickBot="1" x14ac:dyDescent="0.3">
      <c r="A4" s="46" t="s">
        <v>43</v>
      </c>
      <c r="B4" s="45" t="s">
        <v>15</v>
      </c>
      <c r="C4" s="40" t="s">
        <v>75</v>
      </c>
      <c r="D4" s="37">
        <v>7.5</v>
      </c>
      <c r="E4" s="35" t="s">
        <v>42</v>
      </c>
      <c r="F4" s="34">
        <v>1.7</v>
      </c>
      <c r="G4" s="35" t="s">
        <v>45</v>
      </c>
      <c r="H4" s="34">
        <v>1.3</v>
      </c>
      <c r="I4" s="35" t="s">
        <v>44</v>
      </c>
      <c r="J4" s="36">
        <v>1.25</v>
      </c>
      <c r="K4" s="33">
        <f>MIN(F4,H4,J4)</f>
        <v>1.25</v>
      </c>
    </row>
    <row r="5" spans="1:15" ht="15.75" hidden="1" thickBot="1" x14ac:dyDescent="0.3">
      <c r="A5" s="46" t="s">
        <v>41</v>
      </c>
      <c r="B5" s="45" t="s">
        <v>15</v>
      </c>
      <c r="C5" s="40" t="s">
        <v>75</v>
      </c>
      <c r="D5" s="37">
        <v>8</v>
      </c>
      <c r="E5" s="35" t="s">
        <v>40</v>
      </c>
      <c r="F5" s="34">
        <v>1.29</v>
      </c>
      <c r="G5" s="35" t="s">
        <v>39</v>
      </c>
      <c r="H5" s="36">
        <v>1.22</v>
      </c>
      <c r="I5" s="35" t="s">
        <v>38</v>
      </c>
      <c r="J5" s="34">
        <v>2.1</v>
      </c>
      <c r="K5" s="33">
        <f>MIN(F5,H5,J5)</f>
        <v>1.22</v>
      </c>
    </row>
    <row r="6" spans="1:15" ht="15.75" hidden="1" thickBot="1" x14ac:dyDescent="0.3">
      <c r="A6" s="46" t="s">
        <v>12</v>
      </c>
      <c r="B6" s="45" t="s">
        <v>15</v>
      </c>
      <c r="C6" s="40" t="s">
        <v>75</v>
      </c>
      <c r="D6" s="37">
        <v>9</v>
      </c>
      <c r="E6" s="35" t="s">
        <v>10</v>
      </c>
      <c r="F6" s="34">
        <v>1.4</v>
      </c>
      <c r="G6" s="35" t="s">
        <v>14</v>
      </c>
      <c r="H6" s="34">
        <v>1.55</v>
      </c>
      <c r="I6" s="35" t="s">
        <v>13</v>
      </c>
      <c r="J6" s="36">
        <v>1.22</v>
      </c>
      <c r="K6" s="33">
        <f>MIN(F6,H6,J6)</f>
        <v>1.22</v>
      </c>
    </row>
    <row r="7" spans="1:15" ht="15.75" hidden="1" thickBot="1" x14ac:dyDescent="0.3">
      <c r="A7" s="46" t="s">
        <v>30</v>
      </c>
      <c r="B7" s="45" t="s">
        <v>15</v>
      </c>
      <c r="C7" s="40" t="s">
        <v>75</v>
      </c>
      <c r="D7" s="37">
        <v>11</v>
      </c>
      <c r="E7" s="35" t="s">
        <v>31</v>
      </c>
      <c r="F7" s="34">
        <v>1.6</v>
      </c>
      <c r="G7" s="35" t="s">
        <v>32</v>
      </c>
      <c r="H7" s="36">
        <v>1.1000000000000001</v>
      </c>
      <c r="I7" s="35" t="s">
        <v>33</v>
      </c>
      <c r="J7" s="34">
        <v>1.4</v>
      </c>
      <c r="K7" s="33">
        <f>MIN(F7,H7,J7)</f>
        <v>1.1000000000000001</v>
      </c>
    </row>
    <row r="8" spans="1:15" ht="15.75" hidden="1" thickBot="1" x14ac:dyDescent="0.3">
      <c r="A8" s="46" t="s">
        <v>47</v>
      </c>
      <c r="B8" s="45" t="s">
        <v>15</v>
      </c>
      <c r="C8" s="40" t="s">
        <v>75</v>
      </c>
      <c r="D8" s="37">
        <v>13</v>
      </c>
      <c r="E8" s="35" t="s">
        <v>46</v>
      </c>
      <c r="F8" s="36">
        <v>1.05</v>
      </c>
      <c r="G8" s="35" t="s">
        <v>49</v>
      </c>
      <c r="H8" s="34">
        <v>1.55</v>
      </c>
      <c r="I8" s="35" t="s">
        <v>48</v>
      </c>
      <c r="J8" s="34">
        <v>1.73</v>
      </c>
      <c r="K8" s="33">
        <f>MIN(F8,H8,J8)</f>
        <v>1.05</v>
      </c>
    </row>
    <row r="9" spans="1:15" ht="15.75" hidden="1" thickBot="1" x14ac:dyDescent="0.3">
      <c r="A9" s="46" t="s">
        <v>59</v>
      </c>
      <c r="B9" s="45" t="s">
        <v>15</v>
      </c>
      <c r="C9" s="40" t="s">
        <v>75</v>
      </c>
      <c r="D9" s="37">
        <v>21</v>
      </c>
      <c r="E9" s="35" t="s">
        <v>58</v>
      </c>
      <c r="F9" s="34">
        <v>2.0499999999999998</v>
      </c>
      <c r="G9" s="35" t="s">
        <v>61</v>
      </c>
      <c r="H9" s="34">
        <v>1.7</v>
      </c>
      <c r="I9" s="35" t="s">
        <v>60</v>
      </c>
      <c r="J9" s="36">
        <v>1.3</v>
      </c>
      <c r="K9" s="33">
        <f>MIN(F9,H9,J9)</f>
        <v>1.3</v>
      </c>
    </row>
    <row r="10" spans="1:15" ht="15.75" thickBot="1" x14ac:dyDescent="0.3">
      <c r="A10" s="44" t="s">
        <v>48</v>
      </c>
      <c r="B10" s="43" t="s">
        <v>22</v>
      </c>
      <c r="C10" s="40" t="s">
        <v>75</v>
      </c>
      <c r="D10" s="37">
        <v>151</v>
      </c>
      <c r="E10" s="35" t="s">
        <v>49</v>
      </c>
      <c r="F10" s="36">
        <v>2.4</v>
      </c>
      <c r="G10" s="35" t="s">
        <v>46</v>
      </c>
      <c r="H10" s="48">
        <v>1.08</v>
      </c>
      <c r="I10" s="35" t="s">
        <v>47</v>
      </c>
      <c r="J10" s="34">
        <v>4.5999999999999996</v>
      </c>
      <c r="K10" s="33">
        <f>MIN(F10,H10,J10)</f>
        <v>1.08</v>
      </c>
      <c r="M10" s="54">
        <f>_xlfn.XLOOKUP(A10&amp;G10,'GP1'!R:R,'GP1'!H:H)</f>
        <v>1.18</v>
      </c>
      <c r="N10" s="56">
        <f>+H10-M10</f>
        <v>-9.9999999999999867E-2</v>
      </c>
      <c r="O10" s="55">
        <f>+N10/M10</f>
        <v>-8.4745762711864292E-2</v>
      </c>
    </row>
    <row r="11" spans="1:15" ht="15.75" thickBot="1" x14ac:dyDescent="0.3">
      <c r="A11" s="42" t="s">
        <v>27</v>
      </c>
      <c r="B11" s="41" t="s">
        <v>20</v>
      </c>
      <c r="C11" s="40" t="s">
        <v>75</v>
      </c>
      <c r="D11" s="37">
        <v>126</v>
      </c>
      <c r="E11" s="35" t="s">
        <v>26</v>
      </c>
      <c r="F11" s="36">
        <v>1.8</v>
      </c>
      <c r="G11" s="35" t="s">
        <v>29</v>
      </c>
      <c r="H11" s="48">
        <v>1.29</v>
      </c>
      <c r="I11" s="35" t="s">
        <v>28</v>
      </c>
      <c r="J11" s="34">
        <v>3.4</v>
      </c>
      <c r="K11" s="33">
        <f>MIN(F11,H11,J11)</f>
        <v>1.29</v>
      </c>
      <c r="M11" s="54">
        <f>_xlfn.XLOOKUP(A11&amp;G11,'GP1'!R:R,'GP1'!H:H)</f>
        <v>1.3</v>
      </c>
      <c r="N11" s="56">
        <f t="shared" ref="N11:N49" si="0">+H11-M11</f>
        <v>-1.0000000000000009E-2</v>
      </c>
      <c r="O11" s="55">
        <f t="shared" ref="O11:O49" si="1">+N11/M11</f>
        <v>-7.6923076923076988E-3</v>
      </c>
    </row>
    <row r="12" spans="1:15" ht="15.75" thickBot="1" x14ac:dyDescent="0.3">
      <c r="A12" s="44" t="s">
        <v>21</v>
      </c>
      <c r="B12" s="43" t="s">
        <v>22</v>
      </c>
      <c r="C12" s="40" t="s">
        <v>75</v>
      </c>
      <c r="D12" s="37">
        <v>41</v>
      </c>
      <c r="E12" s="35" t="s">
        <v>23</v>
      </c>
      <c r="F12" s="34">
        <v>1.62</v>
      </c>
      <c r="G12" s="35" t="s">
        <v>24</v>
      </c>
      <c r="H12" s="36">
        <v>1.4</v>
      </c>
      <c r="I12" s="35" t="s">
        <v>25</v>
      </c>
      <c r="J12" s="48">
        <v>1.22</v>
      </c>
      <c r="K12" s="33">
        <f>MIN(F12,H12,J12)</f>
        <v>1.22</v>
      </c>
      <c r="M12" s="54">
        <f>_xlfn.XLOOKUP(A12&amp;G12,'GP1'!R:R,'GP1'!H:H)</f>
        <v>1.4</v>
      </c>
      <c r="N12" s="56">
        <f t="shared" si="0"/>
        <v>0</v>
      </c>
      <c r="O12" s="55">
        <f t="shared" si="1"/>
        <v>0</v>
      </c>
    </row>
    <row r="13" spans="1:15" ht="15.75" thickBot="1" x14ac:dyDescent="0.3">
      <c r="A13" s="44" t="s">
        <v>38</v>
      </c>
      <c r="B13" s="43" t="s">
        <v>22</v>
      </c>
      <c r="C13" s="40" t="s">
        <v>75</v>
      </c>
      <c r="D13" s="37">
        <v>41</v>
      </c>
      <c r="E13" s="35" t="s">
        <v>39</v>
      </c>
      <c r="F13" s="48">
        <v>1.36</v>
      </c>
      <c r="G13" s="35" t="s">
        <v>40</v>
      </c>
      <c r="H13" s="48">
        <v>1.44</v>
      </c>
      <c r="I13" s="35" t="s">
        <v>41</v>
      </c>
      <c r="J13" s="36">
        <v>3.5</v>
      </c>
      <c r="K13" s="33">
        <f>MIN(F13,H13,J13)</f>
        <v>1.36</v>
      </c>
      <c r="M13" s="54">
        <f>_xlfn.XLOOKUP(A13&amp;G13,'GP1'!R:R,'GP1'!H:H)</f>
        <v>1.44</v>
      </c>
      <c r="N13" s="56">
        <f t="shared" si="0"/>
        <v>0</v>
      </c>
      <c r="O13" s="55">
        <f t="shared" si="1"/>
        <v>0</v>
      </c>
    </row>
    <row r="14" spans="1:15" ht="15.75" thickBot="1" x14ac:dyDescent="0.3">
      <c r="A14" s="44" t="s">
        <v>36</v>
      </c>
      <c r="B14" s="43" t="s">
        <v>22</v>
      </c>
      <c r="C14" s="40" t="s">
        <v>75</v>
      </c>
      <c r="D14" s="37">
        <v>67</v>
      </c>
      <c r="E14" s="35" t="s">
        <v>37</v>
      </c>
      <c r="F14" s="48">
        <v>1.44</v>
      </c>
      <c r="G14" s="35" t="s">
        <v>34</v>
      </c>
      <c r="H14" s="34">
        <v>1.44</v>
      </c>
      <c r="I14" s="35" t="s">
        <v>35</v>
      </c>
      <c r="J14" s="36">
        <v>5.5</v>
      </c>
      <c r="K14" s="33">
        <f>MIN(F14,H14,J14)</f>
        <v>1.44</v>
      </c>
      <c r="M14" s="54">
        <f>_xlfn.XLOOKUP(A14&amp;G14,'GP1'!R:R,'GP1'!H:H)</f>
        <v>1.4</v>
      </c>
      <c r="N14" s="56">
        <f t="shared" si="0"/>
        <v>4.0000000000000036E-2</v>
      </c>
      <c r="O14" s="55">
        <f t="shared" si="1"/>
        <v>2.8571428571428598E-2</v>
      </c>
    </row>
    <row r="15" spans="1:15" ht="15.75" thickBot="1" x14ac:dyDescent="0.3">
      <c r="A15" s="44" t="s">
        <v>58</v>
      </c>
      <c r="B15" s="43" t="s">
        <v>22</v>
      </c>
      <c r="C15" s="40" t="s">
        <v>75</v>
      </c>
      <c r="D15" s="37">
        <v>41</v>
      </c>
      <c r="E15" s="35" t="s">
        <v>59</v>
      </c>
      <c r="F15" s="34">
        <v>3.4</v>
      </c>
      <c r="G15" s="35" t="s">
        <v>60</v>
      </c>
      <c r="H15" s="36">
        <v>1.5</v>
      </c>
      <c r="I15" s="35" t="s">
        <v>61</v>
      </c>
      <c r="J15" s="48">
        <v>2.15</v>
      </c>
      <c r="K15" s="33">
        <f>MIN(F15,H15,J15)</f>
        <v>1.5</v>
      </c>
      <c r="M15" s="54">
        <f>_xlfn.XLOOKUP(A15&amp;G15,'GP1'!R:R,'GP1'!H:H)</f>
        <v>1.75</v>
      </c>
      <c r="N15" s="56">
        <f t="shared" si="0"/>
        <v>-0.25</v>
      </c>
      <c r="O15" s="55">
        <f t="shared" si="1"/>
        <v>-0.14285714285714285</v>
      </c>
    </row>
    <row r="16" spans="1:15" ht="15.75" thickBot="1" x14ac:dyDescent="0.3">
      <c r="A16" s="44" t="s">
        <v>28</v>
      </c>
      <c r="B16" s="43" t="s">
        <v>22</v>
      </c>
      <c r="C16" s="40" t="s">
        <v>75</v>
      </c>
      <c r="D16" s="37">
        <v>67</v>
      </c>
      <c r="E16" s="35" t="s">
        <v>29</v>
      </c>
      <c r="F16" s="36">
        <v>1.22</v>
      </c>
      <c r="G16" s="35" t="s">
        <v>26</v>
      </c>
      <c r="H16" s="34">
        <v>1.53</v>
      </c>
      <c r="I16" s="35" t="s">
        <v>27</v>
      </c>
      <c r="J16" s="48">
        <v>2.1</v>
      </c>
      <c r="K16" s="33">
        <f>MIN(F16,H16,J16)</f>
        <v>1.22</v>
      </c>
      <c r="M16" s="54">
        <f>_xlfn.XLOOKUP(A16&amp;G16,'GP1'!R:R,'GP1'!H:H)</f>
        <v>1.57</v>
      </c>
      <c r="N16" s="56">
        <f t="shared" si="0"/>
        <v>-4.0000000000000036E-2</v>
      </c>
      <c r="O16" s="55">
        <f t="shared" si="1"/>
        <v>-2.5477707006369449E-2</v>
      </c>
    </row>
    <row r="17" spans="1:15" ht="15.75" thickBot="1" x14ac:dyDescent="0.3">
      <c r="A17" s="44" t="s">
        <v>42</v>
      </c>
      <c r="B17" s="43" t="s">
        <v>22</v>
      </c>
      <c r="C17" s="40" t="s">
        <v>75</v>
      </c>
      <c r="D17" s="37">
        <v>81</v>
      </c>
      <c r="E17" s="35" t="s">
        <v>43</v>
      </c>
      <c r="F17" s="36">
        <v>4.75</v>
      </c>
      <c r="G17" s="35" t="s">
        <v>44</v>
      </c>
      <c r="H17" s="48">
        <v>1.55</v>
      </c>
      <c r="I17" s="35" t="s">
        <v>45</v>
      </c>
      <c r="J17" s="34">
        <v>1.65</v>
      </c>
      <c r="K17" s="33">
        <f>MIN(F17,H17,J17)</f>
        <v>1.55</v>
      </c>
      <c r="M17" s="54">
        <f>_xlfn.XLOOKUP(A17&amp;G17,'GP1'!R:R,'GP1'!H:H)</f>
        <v>1.44</v>
      </c>
      <c r="N17" s="56">
        <f t="shared" si="0"/>
        <v>0.1100000000000001</v>
      </c>
      <c r="O17" s="55">
        <f t="shared" si="1"/>
        <v>7.6388888888888964E-2</v>
      </c>
    </row>
    <row r="18" spans="1:15" ht="15.75" thickBot="1" x14ac:dyDescent="0.3">
      <c r="A18" s="42" t="s">
        <v>10</v>
      </c>
      <c r="B18" s="41" t="s">
        <v>20</v>
      </c>
      <c r="C18" s="40" t="s">
        <v>75</v>
      </c>
      <c r="D18" s="37">
        <v>301</v>
      </c>
      <c r="E18" s="35" t="s">
        <v>12</v>
      </c>
      <c r="F18" s="36">
        <v>7.5</v>
      </c>
      <c r="G18" s="35" t="s">
        <v>13</v>
      </c>
      <c r="H18" s="48">
        <v>1.55</v>
      </c>
      <c r="I18" s="35" t="s">
        <v>14</v>
      </c>
      <c r="J18" s="48">
        <v>2.9</v>
      </c>
      <c r="K18" s="33">
        <f>MIN(F18,H18,J18)</f>
        <v>1.55</v>
      </c>
      <c r="M18" s="54">
        <f>_xlfn.XLOOKUP(A18&amp;G18,'GP1'!R:R,'GP1'!H:H)</f>
        <v>1.57</v>
      </c>
      <c r="N18" s="56">
        <f t="shared" si="0"/>
        <v>-2.0000000000000018E-2</v>
      </c>
      <c r="O18" s="55">
        <f t="shared" si="1"/>
        <v>-1.2738853503184724E-2</v>
      </c>
    </row>
    <row r="19" spans="1:15" ht="15.75" thickBot="1" x14ac:dyDescent="0.3">
      <c r="A19" s="44" t="s">
        <v>18</v>
      </c>
      <c r="B19" s="43" t="s">
        <v>22</v>
      </c>
      <c r="C19" s="40" t="s">
        <v>75</v>
      </c>
      <c r="D19" s="37">
        <v>41</v>
      </c>
      <c r="E19" s="35" t="s">
        <v>19</v>
      </c>
      <c r="F19" s="34">
        <v>2</v>
      </c>
      <c r="G19" s="35" t="s">
        <v>16</v>
      </c>
      <c r="H19" s="36">
        <v>1.57</v>
      </c>
      <c r="I19" s="35" t="s">
        <v>17</v>
      </c>
      <c r="J19" s="34">
        <v>2.4</v>
      </c>
      <c r="K19" s="33">
        <f>MIN(F19,H19,J19)</f>
        <v>1.57</v>
      </c>
      <c r="M19" s="54">
        <f>_xlfn.XLOOKUP(A19&amp;G19,'GP1'!R:R,'GP1'!H:H)</f>
        <v>1.7</v>
      </c>
      <c r="N19" s="56">
        <f t="shared" si="0"/>
        <v>-0.12999999999999989</v>
      </c>
      <c r="O19" s="55">
        <f t="shared" si="1"/>
        <v>-7.6470588235294054E-2</v>
      </c>
    </row>
    <row r="20" spans="1:15" ht="15.75" thickBot="1" x14ac:dyDescent="0.3">
      <c r="A20" s="42" t="s">
        <v>23</v>
      </c>
      <c r="B20" s="41" t="s">
        <v>20</v>
      </c>
      <c r="C20" s="40" t="s">
        <v>75</v>
      </c>
      <c r="D20" s="37">
        <v>201</v>
      </c>
      <c r="E20" s="35" t="s">
        <v>21</v>
      </c>
      <c r="F20" s="36">
        <v>5</v>
      </c>
      <c r="G20" s="35" t="s">
        <v>25</v>
      </c>
      <c r="H20" s="48">
        <v>1.62</v>
      </c>
      <c r="I20" s="35" t="s">
        <v>24</v>
      </c>
      <c r="J20" s="34">
        <v>2.1</v>
      </c>
      <c r="K20" s="33">
        <f>MIN(F20,H20,J20)</f>
        <v>1.62</v>
      </c>
      <c r="M20" s="54">
        <f>_xlfn.XLOOKUP(A20&amp;G20,'GP1'!R:R,'GP1'!H:H)</f>
        <v>1.7</v>
      </c>
      <c r="N20" s="56">
        <f t="shared" si="0"/>
        <v>-7.9999999999999849E-2</v>
      </c>
      <c r="O20" s="55">
        <f t="shared" si="1"/>
        <v>-4.7058823529411674E-2</v>
      </c>
    </row>
    <row r="21" spans="1:15" ht="15.75" thickBot="1" x14ac:dyDescent="0.3">
      <c r="A21" s="44" t="s">
        <v>31</v>
      </c>
      <c r="B21" s="43" t="s">
        <v>22</v>
      </c>
      <c r="C21" s="40" t="s">
        <v>75</v>
      </c>
      <c r="D21" s="37">
        <v>41</v>
      </c>
      <c r="E21" s="35" t="s">
        <v>30</v>
      </c>
      <c r="F21" s="48">
        <v>5</v>
      </c>
      <c r="G21" s="35" t="s">
        <v>33</v>
      </c>
      <c r="H21" s="34">
        <v>1.75</v>
      </c>
      <c r="I21" s="35" t="s">
        <v>32</v>
      </c>
      <c r="J21" s="36">
        <v>1.29</v>
      </c>
      <c r="K21" s="33">
        <f>MIN(F21,H21,J21)</f>
        <v>1.29</v>
      </c>
      <c r="M21" s="54">
        <f>_xlfn.XLOOKUP(A21&amp;G21,'GP1'!R:R,'GP1'!H:H)</f>
        <v>2</v>
      </c>
      <c r="N21" s="56">
        <f t="shared" si="0"/>
        <v>-0.25</v>
      </c>
      <c r="O21" s="55">
        <f t="shared" si="1"/>
        <v>-0.125</v>
      </c>
    </row>
    <row r="22" spans="1:15" ht="15.75" thickBot="1" x14ac:dyDescent="0.3">
      <c r="A22" s="42" t="s">
        <v>50</v>
      </c>
      <c r="B22" s="41" t="s">
        <v>20</v>
      </c>
      <c r="C22" s="49" t="s">
        <v>74</v>
      </c>
      <c r="D22" s="37">
        <v>301</v>
      </c>
      <c r="E22" s="35" t="s">
        <v>51</v>
      </c>
      <c r="F22" s="34">
        <v>2.8</v>
      </c>
      <c r="G22" s="35" t="s">
        <v>52</v>
      </c>
      <c r="H22" s="52">
        <v>1.75</v>
      </c>
      <c r="I22" s="35" t="s">
        <v>53</v>
      </c>
      <c r="J22" s="36">
        <v>4.33</v>
      </c>
      <c r="K22" s="51">
        <f>MIN(F22,H22,J22)</f>
        <v>1.75</v>
      </c>
      <c r="M22" s="54">
        <f>_xlfn.XLOOKUP(A22&amp;G22,'GP1'!R:R,'GP1'!H:H)</f>
        <v>1.95</v>
      </c>
      <c r="N22" s="56">
        <f t="shared" si="0"/>
        <v>-0.19999999999999996</v>
      </c>
      <c r="O22" s="55">
        <f t="shared" si="1"/>
        <v>-0.10256410256410255</v>
      </c>
    </row>
    <row r="23" spans="1:15" ht="15.75" thickBot="1" x14ac:dyDescent="0.3">
      <c r="A23" s="44" t="s">
        <v>53</v>
      </c>
      <c r="B23" s="43" t="s">
        <v>22</v>
      </c>
      <c r="C23" s="40" t="s">
        <v>75</v>
      </c>
      <c r="D23" s="37">
        <v>51</v>
      </c>
      <c r="E23" s="35" t="s">
        <v>52</v>
      </c>
      <c r="F23" s="36">
        <v>1.4</v>
      </c>
      <c r="G23" s="35" t="s">
        <v>51</v>
      </c>
      <c r="H23" s="34">
        <v>1.95</v>
      </c>
      <c r="I23" s="35" t="s">
        <v>50</v>
      </c>
      <c r="J23" s="34">
        <v>1.83</v>
      </c>
      <c r="K23" s="33">
        <f>MIN(F23,H23,J23)</f>
        <v>1.4</v>
      </c>
      <c r="M23" s="54">
        <f>_xlfn.XLOOKUP(A23&amp;G23,'GP1'!R:R,'GP1'!H:H)</f>
        <v>1.8</v>
      </c>
      <c r="N23" s="56">
        <f t="shared" si="0"/>
        <v>0.14999999999999991</v>
      </c>
      <c r="O23" s="55">
        <f t="shared" si="1"/>
        <v>8.3333333333333287E-2</v>
      </c>
    </row>
    <row r="24" spans="1:15" ht="15.75" thickBot="1" x14ac:dyDescent="0.3">
      <c r="A24" s="42" t="s">
        <v>17</v>
      </c>
      <c r="B24" s="41" t="s">
        <v>20</v>
      </c>
      <c r="C24" s="40" t="s">
        <v>75</v>
      </c>
      <c r="D24" s="37">
        <v>151</v>
      </c>
      <c r="E24" s="35" t="s">
        <v>16</v>
      </c>
      <c r="F24" s="48">
        <v>1.67</v>
      </c>
      <c r="G24" s="35" t="s">
        <v>19</v>
      </c>
      <c r="H24" s="36">
        <v>2</v>
      </c>
      <c r="I24" s="35" t="s">
        <v>18</v>
      </c>
      <c r="J24" s="48">
        <v>2.7</v>
      </c>
      <c r="K24" s="33">
        <f>MIN(F24,H24,J24)</f>
        <v>1.67</v>
      </c>
      <c r="M24" s="54">
        <f>_xlfn.XLOOKUP(A24&amp;G24,'GP1'!R:R,'GP1'!H:H)</f>
        <v>2.2000000000000002</v>
      </c>
      <c r="N24" s="56">
        <f t="shared" si="0"/>
        <v>-0.20000000000000018</v>
      </c>
      <c r="O24" s="55">
        <f t="shared" si="1"/>
        <v>-9.0909090909090981E-2</v>
      </c>
    </row>
    <row r="25" spans="1:15" ht="15.75" thickBot="1" x14ac:dyDescent="0.3">
      <c r="A25" s="44" t="s">
        <v>57</v>
      </c>
      <c r="B25" s="43" t="s">
        <v>22</v>
      </c>
      <c r="C25" s="40" t="s">
        <v>75</v>
      </c>
      <c r="D25" s="37">
        <v>29</v>
      </c>
      <c r="E25" s="35" t="s">
        <v>56</v>
      </c>
      <c r="F25" s="48">
        <v>1.2</v>
      </c>
      <c r="G25" s="35" t="s">
        <v>55</v>
      </c>
      <c r="H25" s="48">
        <v>2.2999999999999998</v>
      </c>
      <c r="I25" s="35" t="s">
        <v>54</v>
      </c>
      <c r="J25" s="36">
        <v>4</v>
      </c>
      <c r="K25" s="33">
        <f>MIN(F25,H25,J25)</f>
        <v>1.2</v>
      </c>
      <c r="M25" s="54">
        <f>_xlfn.XLOOKUP(A25&amp;G25,'GP1'!R:R,'GP1'!H:H)</f>
        <v>2.0499999999999998</v>
      </c>
      <c r="N25" s="56">
        <f t="shared" si="0"/>
        <v>0.25</v>
      </c>
      <c r="O25" s="55">
        <f t="shared" si="1"/>
        <v>0.12195121951219513</v>
      </c>
    </row>
    <row r="26" spans="1:15" ht="15.75" thickBot="1" x14ac:dyDescent="0.3">
      <c r="A26" s="44" t="s">
        <v>55</v>
      </c>
      <c r="B26" s="43" t="s">
        <v>22</v>
      </c>
      <c r="C26" s="40" t="s">
        <v>75</v>
      </c>
      <c r="D26" s="37">
        <v>101</v>
      </c>
      <c r="E26" s="35" t="s">
        <v>54</v>
      </c>
      <c r="F26" s="48">
        <v>6</v>
      </c>
      <c r="G26" s="35" t="s">
        <v>57</v>
      </c>
      <c r="H26" s="36">
        <v>2.9</v>
      </c>
      <c r="I26" s="35" t="s">
        <v>56</v>
      </c>
      <c r="J26" s="48">
        <v>1.33</v>
      </c>
      <c r="K26" s="33">
        <f>MIN(F26,H26,J26)</f>
        <v>1.33</v>
      </c>
      <c r="M26" s="54">
        <f>_xlfn.XLOOKUP(A26&amp;G26,'GP1'!R:R,'GP1'!H:H)</f>
        <v>3.3</v>
      </c>
      <c r="N26" s="56">
        <f t="shared" si="0"/>
        <v>-0.39999999999999991</v>
      </c>
      <c r="O26" s="55">
        <f t="shared" si="1"/>
        <v>-0.12121212121212119</v>
      </c>
    </row>
    <row r="27" spans="1:15" ht="15.75" thickBot="1" x14ac:dyDescent="0.3">
      <c r="A27" s="42" t="s">
        <v>19</v>
      </c>
      <c r="B27" s="41" t="s">
        <v>20</v>
      </c>
      <c r="C27" s="40" t="s">
        <v>75</v>
      </c>
      <c r="D27" s="37">
        <v>351</v>
      </c>
      <c r="E27" s="35" t="s">
        <v>18</v>
      </c>
      <c r="F27" s="36">
        <v>3.7</v>
      </c>
      <c r="G27" s="35" t="s">
        <v>17</v>
      </c>
      <c r="H27" s="34">
        <v>3.8</v>
      </c>
      <c r="I27" s="35" t="s">
        <v>16</v>
      </c>
      <c r="J27" s="48">
        <v>2.15</v>
      </c>
      <c r="K27" s="33">
        <f>MIN(F27,H27,J27)</f>
        <v>2.15</v>
      </c>
      <c r="M27" s="54">
        <f>_xlfn.XLOOKUP(A27&amp;G27,'GP1'!R:R,'GP1'!H:H)</f>
        <v>3.25</v>
      </c>
      <c r="N27" s="56">
        <f t="shared" si="0"/>
        <v>0.54999999999999982</v>
      </c>
      <c r="O27" s="55">
        <f t="shared" si="1"/>
        <v>0.16923076923076918</v>
      </c>
    </row>
    <row r="28" spans="1:15" ht="15.75" thickBot="1" x14ac:dyDescent="0.3">
      <c r="A28" s="42" t="s">
        <v>51</v>
      </c>
      <c r="B28" s="41" t="s">
        <v>20</v>
      </c>
      <c r="C28" s="49" t="s">
        <v>74</v>
      </c>
      <c r="D28" s="37">
        <v>251</v>
      </c>
      <c r="E28" s="35" t="s">
        <v>50</v>
      </c>
      <c r="F28" s="36">
        <v>2.62</v>
      </c>
      <c r="G28" s="35" t="s">
        <v>53</v>
      </c>
      <c r="H28" s="48">
        <v>3.9</v>
      </c>
      <c r="I28" s="35" t="s">
        <v>52</v>
      </c>
      <c r="J28" s="48">
        <v>1.62</v>
      </c>
      <c r="K28" s="51">
        <f>MIN(F28,H28,J28)</f>
        <v>1.62</v>
      </c>
      <c r="M28" s="54">
        <f>_xlfn.XLOOKUP(A28&amp;G28,'GP1'!R:R,'GP1'!H:H)</f>
        <v>4.2</v>
      </c>
      <c r="N28" s="56">
        <f t="shared" si="0"/>
        <v>-0.30000000000000027</v>
      </c>
      <c r="O28" s="55">
        <f t="shared" si="1"/>
        <v>-7.1428571428571494E-2</v>
      </c>
    </row>
    <row r="29" spans="1:15" ht="15.75" thickBot="1" x14ac:dyDescent="0.3">
      <c r="A29" s="39" t="s">
        <v>52</v>
      </c>
      <c r="B29" s="38" t="s">
        <v>11</v>
      </c>
      <c r="C29" s="49" t="s">
        <v>74</v>
      </c>
      <c r="D29" s="37">
        <v>1501</v>
      </c>
      <c r="E29" s="35" t="s">
        <v>53</v>
      </c>
      <c r="F29" s="34">
        <v>8</v>
      </c>
      <c r="G29" s="35" t="s">
        <v>50</v>
      </c>
      <c r="H29" s="36">
        <v>4.33</v>
      </c>
      <c r="I29" s="35" t="s">
        <v>51</v>
      </c>
      <c r="J29" s="48">
        <v>5</v>
      </c>
      <c r="K29" s="33">
        <f>MIN(F29,H29,J29)</f>
        <v>4.33</v>
      </c>
      <c r="M29" s="54">
        <f>_xlfn.XLOOKUP(A29&amp;G29,'GP1'!R:R,'GP1'!H:H)</f>
        <v>3.9</v>
      </c>
      <c r="N29" s="56">
        <f t="shared" si="0"/>
        <v>0.43000000000000016</v>
      </c>
      <c r="O29" s="55">
        <f t="shared" si="1"/>
        <v>0.11025641025641029</v>
      </c>
    </row>
    <row r="30" spans="1:15" ht="15.75" thickBot="1" x14ac:dyDescent="0.3">
      <c r="A30" s="42" t="s">
        <v>33</v>
      </c>
      <c r="B30" s="41" t="s">
        <v>20</v>
      </c>
      <c r="C30" s="40" t="s">
        <v>75</v>
      </c>
      <c r="D30" s="37">
        <v>151</v>
      </c>
      <c r="E30" s="35" t="s">
        <v>32</v>
      </c>
      <c r="F30" s="48">
        <v>1.5</v>
      </c>
      <c r="G30" s="35" t="s">
        <v>31</v>
      </c>
      <c r="H30" s="34">
        <v>4.8</v>
      </c>
      <c r="I30" s="35" t="s">
        <v>30</v>
      </c>
      <c r="J30" s="36">
        <v>6.5</v>
      </c>
      <c r="K30" s="33">
        <f>MIN(F30,H30,J30)</f>
        <v>1.5</v>
      </c>
      <c r="M30" s="54">
        <f>_xlfn.XLOOKUP(A30&amp;G30,'GP1'!R:R,'GP1'!H:H)</f>
        <v>3.8</v>
      </c>
      <c r="N30" s="56">
        <f t="shared" si="0"/>
        <v>1</v>
      </c>
      <c r="O30" s="55">
        <f t="shared" si="1"/>
        <v>0.26315789473684209</v>
      </c>
    </row>
    <row r="31" spans="1:15" ht="15.75" thickBot="1" x14ac:dyDescent="0.3">
      <c r="A31" s="42" t="s">
        <v>61</v>
      </c>
      <c r="B31" s="41" t="s">
        <v>20</v>
      </c>
      <c r="C31" s="40" t="s">
        <v>75</v>
      </c>
      <c r="D31" s="37">
        <v>81</v>
      </c>
      <c r="E31" s="35" t="s">
        <v>60</v>
      </c>
      <c r="F31" s="48">
        <v>1.91</v>
      </c>
      <c r="G31" s="35" t="s">
        <v>59</v>
      </c>
      <c r="H31" s="48">
        <v>4.8</v>
      </c>
      <c r="I31" s="35" t="s">
        <v>58</v>
      </c>
      <c r="J31" s="36">
        <v>3.3</v>
      </c>
      <c r="K31" s="33">
        <f>MIN(F31,H31,J31)</f>
        <v>1.91</v>
      </c>
      <c r="M31" s="54">
        <f>_xlfn.XLOOKUP(A31&amp;G31,'GP1'!R:R,'GP1'!H:H)</f>
        <v>4.8</v>
      </c>
      <c r="N31" s="56">
        <f t="shared" si="0"/>
        <v>0</v>
      </c>
      <c r="O31" s="55">
        <f t="shared" si="1"/>
        <v>0</v>
      </c>
    </row>
    <row r="32" spans="1:15" ht="15.75" thickBot="1" x14ac:dyDescent="0.3">
      <c r="A32" s="42" t="s">
        <v>49</v>
      </c>
      <c r="B32" s="41" t="s">
        <v>20</v>
      </c>
      <c r="C32" s="40" t="s">
        <v>75</v>
      </c>
      <c r="D32" s="37">
        <v>151</v>
      </c>
      <c r="E32" s="35" t="s">
        <v>48</v>
      </c>
      <c r="F32" s="48">
        <v>3.1</v>
      </c>
      <c r="G32" s="35" t="s">
        <v>47</v>
      </c>
      <c r="H32" s="36">
        <v>5</v>
      </c>
      <c r="I32" s="35" t="s">
        <v>46</v>
      </c>
      <c r="J32" s="48">
        <v>1.1200000000000001</v>
      </c>
      <c r="K32" s="33">
        <f>MIN(F32,H32,J32)</f>
        <v>1.1200000000000001</v>
      </c>
      <c r="M32" s="54">
        <f>_xlfn.XLOOKUP(A32&amp;G32,'GP1'!R:R,'GP1'!H:H)</f>
        <v>5.5</v>
      </c>
      <c r="N32" s="56">
        <f t="shared" si="0"/>
        <v>-0.5</v>
      </c>
      <c r="O32" s="55">
        <f t="shared" si="1"/>
        <v>-9.0909090909090912E-2</v>
      </c>
    </row>
    <row r="33" spans="1:15" ht="15.75" thickBot="1" x14ac:dyDescent="0.3">
      <c r="A33" s="42" t="s">
        <v>16</v>
      </c>
      <c r="B33" s="41" t="s">
        <v>20</v>
      </c>
      <c r="C33" s="49" t="s">
        <v>74</v>
      </c>
      <c r="D33" s="37">
        <v>101</v>
      </c>
      <c r="E33" s="35" t="s">
        <v>17</v>
      </c>
      <c r="F33" s="34">
        <v>4.8</v>
      </c>
      <c r="G33" s="35" t="s">
        <v>18</v>
      </c>
      <c r="H33" s="36">
        <v>5</v>
      </c>
      <c r="I33" s="35" t="s">
        <v>19</v>
      </c>
      <c r="J33" s="48">
        <v>3.4</v>
      </c>
      <c r="K33" s="33">
        <f>MIN(F33,H33,J33)</f>
        <v>3.4</v>
      </c>
      <c r="M33" s="54">
        <f>_xlfn.XLOOKUP(A33&amp;G33,'GP1'!R:R,'GP1'!H:H)</f>
        <v>4.5</v>
      </c>
      <c r="N33" s="56">
        <f t="shared" si="0"/>
        <v>0.5</v>
      </c>
      <c r="O33" s="55">
        <f t="shared" si="1"/>
        <v>0.1111111111111111</v>
      </c>
    </row>
    <row r="34" spans="1:15" ht="15.75" thickBot="1" x14ac:dyDescent="0.3">
      <c r="A34" s="39" t="s">
        <v>25</v>
      </c>
      <c r="B34" s="38" t="s">
        <v>11</v>
      </c>
      <c r="C34" s="49" t="s">
        <v>74</v>
      </c>
      <c r="D34" s="37">
        <v>1501</v>
      </c>
      <c r="E34" s="35" t="s">
        <v>24</v>
      </c>
      <c r="F34" s="36">
        <v>4.75</v>
      </c>
      <c r="G34" s="35" t="s">
        <v>23</v>
      </c>
      <c r="H34" s="48">
        <v>5</v>
      </c>
      <c r="I34" s="35" t="s">
        <v>21</v>
      </c>
      <c r="J34" s="34">
        <v>12</v>
      </c>
      <c r="K34" s="33">
        <f>MIN(F34,H34,J34)</f>
        <v>4.75</v>
      </c>
      <c r="M34" s="54">
        <f>_xlfn.XLOOKUP(A34&amp;G34,'GP1'!R:R,'GP1'!H:H)</f>
        <v>4.5999999999999996</v>
      </c>
      <c r="N34" s="56">
        <f t="shared" si="0"/>
        <v>0.40000000000000036</v>
      </c>
      <c r="O34" s="55">
        <f t="shared" si="1"/>
        <v>8.6956521739130516E-2</v>
      </c>
    </row>
    <row r="35" spans="1:15" ht="15.75" thickBot="1" x14ac:dyDescent="0.3">
      <c r="A35" s="42" t="s">
        <v>26</v>
      </c>
      <c r="B35" s="41" t="s">
        <v>20</v>
      </c>
      <c r="C35" s="49" t="s">
        <v>74</v>
      </c>
      <c r="D35" s="37">
        <v>251</v>
      </c>
      <c r="E35" s="35" t="s">
        <v>27</v>
      </c>
      <c r="F35" s="48">
        <v>4.5</v>
      </c>
      <c r="G35" s="35" t="s">
        <v>28</v>
      </c>
      <c r="H35" s="34">
        <v>5.8</v>
      </c>
      <c r="I35" s="35" t="s">
        <v>29</v>
      </c>
      <c r="J35" s="36">
        <v>1.57</v>
      </c>
      <c r="K35" s="50">
        <f>MIN(F35,H35,J35)</f>
        <v>1.57</v>
      </c>
      <c r="M35" s="54">
        <f>_xlfn.XLOOKUP(A35&amp;G35,'GP1'!R:R,'GP1'!H:H)</f>
        <v>5.5</v>
      </c>
      <c r="N35" s="56">
        <f t="shared" si="0"/>
        <v>0.29999999999999982</v>
      </c>
      <c r="O35" s="55">
        <f t="shared" si="1"/>
        <v>5.4545454545454515E-2</v>
      </c>
    </row>
    <row r="36" spans="1:15" ht="15.75" thickBot="1" x14ac:dyDescent="0.3">
      <c r="A36" s="39" t="s">
        <v>13</v>
      </c>
      <c r="B36" s="38" t="s">
        <v>11</v>
      </c>
      <c r="C36" s="49" t="s">
        <v>74</v>
      </c>
      <c r="D36" s="37">
        <v>2001</v>
      </c>
      <c r="E36" s="35" t="s">
        <v>14</v>
      </c>
      <c r="F36" s="36">
        <v>8.5</v>
      </c>
      <c r="G36" s="35" t="s">
        <v>10</v>
      </c>
      <c r="H36" s="48">
        <v>5.8</v>
      </c>
      <c r="I36" s="35" t="s">
        <v>12</v>
      </c>
      <c r="J36" s="34">
        <v>12</v>
      </c>
      <c r="K36" s="33">
        <f>MIN(F36,H36,J36)</f>
        <v>5.8</v>
      </c>
      <c r="M36" s="54">
        <f>_xlfn.XLOOKUP(A36&amp;G36,'GP1'!R:R,'GP1'!H:H)</f>
        <v>5.5</v>
      </c>
      <c r="N36" s="56">
        <f t="shared" si="0"/>
        <v>0.29999999999999982</v>
      </c>
      <c r="O36" s="55">
        <f t="shared" si="1"/>
        <v>5.4545454545454515E-2</v>
      </c>
    </row>
    <row r="37" spans="1:15" ht="15.75" thickBot="1" x14ac:dyDescent="0.3">
      <c r="A37" s="42" t="s">
        <v>14</v>
      </c>
      <c r="B37" s="41" t="s">
        <v>20</v>
      </c>
      <c r="C37" s="40" t="s">
        <v>75</v>
      </c>
      <c r="D37" s="37">
        <v>101</v>
      </c>
      <c r="E37" s="35" t="s">
        <v>13</v>
      </c>
      <c r="F37" s="48">
        <v>1.33</v>
      </c>
      <c r="G37" s="35" t="s">
        <v>12</v>
      </c>
      <c r="H37" s="34">
        <v>6</v>
      </c>
      <c r="I37" s="35" t="s">
        <v>10</v>
      </c>
      <c r="J37" s="36">
        <v>2.5</v>
      </c>
      <c r="K37" s="33">
        <f>MIN(F37,H37,J37)</f>
        <v>1.33</v>
      </c>
      <c r="M37" s="54">
        <f>_xlfn.XLOOKUP(A37&amp;G37,'GP1'!R:R,'GP1'!H:H)</f>
        <v>5</v>
      </c>
      <c r="N37" s="56">
        <f t="shared" si="0"/>
        <v>1</v>
      </c>
      <c r="O37" s="55">
        <f t="shared" si="1"/>
        <v>0.2</v>
      </c>
    </row>
    <row r="38" spans="1:15" ht="15.75" thickBot="1" x14ac:dyDescent="0.3">
      <c r="A38" s="39" t="s">
        <v>44</v>
      </c>
      <c r="B38" s="38" t="s">
        <v>11</v>
      </c>
      <c r="C38" s="49" t="s">
        <v>74</v>
      </c>
      <c r="D38" s="37">
        <v>1001</v>
      </c>
      <c r="E38" s="35" t="s">
        <v>45</v>
      </c>
      <c r="F38" s="36">
        <v>3.1</v>
      </c>
      <c r="G38" s="35" t="s">
        <v>42</v>
      </c>
      <c r="H38" s="34">
        <v>6.5</v>
      </c>
      <c r="I38" s="35" t="s">
        <v>43</v>
      </c>
      <c r="J38" s="48">
        <v>11</v>
      </c>
      <c r="K38" s="33">
        <f>MIN(F38,H38,J38)</f>
        <v>3.1</v>
      </c>
      <c r="M38" s="54">
        <f>_xlfn.XLOOKUP(A38&amp;G38,'GP1'!R:R,'GP1'!H:H)</f>
        <v>7</v>
      </c>
      <c r="N38" s="56">
        <f t="shared" si="0"/>
        <v>-0.5</v>
      </c>
      <c r="O38" s="55">
        <f t="shared" si="1"/>
        <v>-7.1428571428571425E-2</v>
      </c>
    </row>
    <row r="39" spans="1:15" ht="15.75" thickBot="1" x14ac:dyDescent="0.3">
      <c r="A39" s="42" t="s">
        <v>60</v>
      </c>
      <c r="B39" s="41" t="s">
        <v>20</v>
      </c>
      <c r="C39" s="49" t="s">
        <v>74</v>
      </c>
      <c r="D39" s="37">
        <v>501</v>
      </c>
      <c r="E39" s="35" t="s">
        <v>61</v>
      </c>
      <c r="F39" s="48">
        <v>4</v>
      </c>
      <c r="G39" s="35" t="s">
        <v>58</v>
      </c>
      <c r="H39" s="34">
        <v>6.5</v>
      </c>
      <c r="I39" s="35" t="s">
        <v>59</v>
      </c>
      <c r="J39" s="36">
        <v>9.5</v>
      </c>
      <c r="K39" s="33">
        <f>MIN(F39,H39,J39)</f>
        <v>4</v>
      </c>
      <c r="M39" s="54">
        <f>_xlfn.XLOOKUP(A39&amp;G39,'GP1'!R:R,'GP1'!H:H)</f>
        <v>4.5</v>
      </c>
      <c r="N39" s="56">
        <f t="shared" si="0"/>
        <v>2</v>
      </c>
      <c r="O39" s="55">
        <f t="shared" si="1"/>
        <v>0.44444444444444442</v>
      </c>
    </row>
    <row r="40" spans="1:15" ht="15.75" thickBot="1" x14ac:dyDescent="0.3">
      <c r="A40" s="39" t="s">
        <v>24</v>
      </c>
      <c r="B40" s="38" t="s">
        <v>11</v>
      </c>
      <c r="C40" s="40" t="s">
        <v>75</v>
      </c>
      <c r="D40" s="37">
        <v>501</v>
      </c>
      <c r="E40" s="35" t="s">
        <v>25</v>
      </c>
      <c r="F40" s="48">
        <v>1.73</v>
      </c>
      <c r="G40" s="35" t="s">
        <v>21</v>
      </c>
      <c r="H40" s="34">
        <v>7</v>
      </c>
      <c r="I40" s="35" t="s">
        <v>23</v>
      </c>
      <c r="J40" s="36">
        <v>3.75</v>
      </c>
      <c r="K40" s="33">
        <f>MIN(F40,H40,J40)</f>
        <v>1.73</v>
      </c>
      <c r="M40" s="54">
        <f>_xlfn.XLOOKUP(A40&amp;G40,'GP1'!R:R,'GP1'!H:H)</f>
        <v>7</v>
      </c>
      <c r="N40" s="56">
        <f t="shared" si="0"/>
        <v>0</v>
      </c>
      <c r="O40" s="55">
        <f t="shared" si="1"/>
        <v>0</v>
      </c>
    </row>
    <row r="41" spans="1:15" ht="15.75" thickBot="1" x14ac:dyDescent="0.3">
      <c r="A41" s="39" t="s">
        <v>40</v>
      </c>
      <c r="B41" s="38" t="s">
        <v>11</v>
      </c>
      <c r="C41" s="49" t="s">
        <v>74</v>
      </c>
      <c r="D41" s="37">
        <v>751</v>
      </c>
      <c r="E41" s="35" t="s">
        <v>41</v>
      </c>
      <c r="F41" s="48">
        <v>11</v>
      </c>
      <c r="G41" s="35" t="s">
        <v>38</v>
      </c>
      <c r="H41" s="34">
        <v>7</v>
      </c>
      <c r="I41" s="35" t="s">
        <v>39</v>
      </c>
      <c r="J41" s="36">
        <v>2.2999999999999998</v>
      </c>
      <c r="K41" s="33">
        <f>MIN(F41,H41,J41)</f>
        <v>2.2999999999999998</v>
      </c>
      <c r="M41" s="54">
        <f>_xlfn.XLOOKUP(A41&amp;G41,'GP1'!R:R,'GP1'!H:H)</f>
        <v>7</v>
      </c>
      <c r="N41" s="56">
        <f t="shared" si="0"/>
        <v>0</v>
      </c>
      <c r="O41" s="55">
        <f t="shared" si="1"/>
        <v>0</v>
      </c>
    </row>
    <row r="42" spans="1:15" ht="15.75" thickBot="1" x14ac:dyDescent="0.3">
      <c r="A42" s="39" t="s">
        <v>34</v>
      </c>
      <c r="B42" s="38" t="s">
        <v>11</v>
      </c>
      <c r="C42" s="49" t="s">
        <v>74</v>
      </c>
      <c r="D42" s="37">
        <v>1001</v>
      </c>
      <c r="E42" s="35" t="s">
        <v>35</v>
      </c>
      <c r="F42" s="36">
        <v>23</v>
      </c>
      <c r="G42" s="35" t="s">
        <v>36</v>
      </c>
      <c r="H42" s="34">
        <v>7</v>
      </c>
      <c r="I42" s="35" t="s">
        <v>37</v>
      </c>
      <c r="J42" s="48">
        <v>2.7</v>
      </c>
      <c r="K42" s="33">
        <f>MIN(F42,H42,J42)</f>
        <v>2.7</v>
      </c>
      <c r="M42" s="54">
        <f>_xlfn.XLOOKUP(A42&amp;G42,'GP1'!R:R,'GP1'!H:H)</f>
        <v>7</v>
      </c>
      <c r="N42" s="56">
        <f t="shared" si="0"/>
        <v>0</v>
      </c>
      <c r="O42" s="55">
        <f t="shared" si="1"/>
        <v>0</v>
      </c>
    </row>
    <row r="43" spans="1:15" ht="15.75" thickBot="1" x14ac:dyDescent="0.3">
      <c r="A43" s="42" t="s">
        <v>45</v>
      </c>
      <c r="B43" s="41" t="s">
        <v>20</v>
      </c>
      <c r="C43" s="49" t="s">
        <v>74</v>
      </c>
      <c r="D43" s="37">
        <v>351</v>
      </c>
      <c r="E43" s="35" t="s">
        <v>44</v>
      </c>
      <c r="F43" s="48">
        <v>2.25</v>
      </c>
      <c r="G43" s="35" t="s">
        <v>43</v>
      </c>
      <c r="H43" s="34">
        <v>10</v>
      </c>
      <c r="I43" s="35" t="s">
        <v>42</v>
      </c>
      <c r="J43" s="36">
        <v>5</v>
      </c>
      <c r="K43" s="33">
        <f>MIN(F43,H43,J43)</f>
        <v>2.25</v>
      </c>
      <c r="M43" s="54">
        <f>_xlfn.XLOOKUP(A43&amp;G43,'GP1'!R:R,'GP1'!H:H)</f>
        <v>9.5</v>
      </c>
      <c r="N43" s="56">
        <f t="shared" si="0"/>
        <v>0.5</v>
      </c>
      <c r="O43" s="55">
        <f t="shared" si="1"/>
        <v>5.2631578947368418E-2</v>
      </c>
    </row>
    <row r="44" spans="1:15" ht="15.75" thickBot="1" x14ac:dyDescent="0.3">
      <c r="A44" s="39" t="s">
        <v>29</v>
      </c>
      <c r="B44" s="38" t="s">
        <v>11</v>
      </c>
      <c r="C44" s="49" t="s">
        <v>74</v>
      </c>
      <c r="D44" s="37">
        <v>1001</v>
      </c>
      <c r="E44" s="35" t="s">
        <v>28</v>
      </c>
      <c r="F44" s="34">
        <v>13</v>
      </c>
      <c r="G44" s="35" t="s">
        <v>27</v>
      </c>
      <c r="H44" s="36">
        <v>10</v>
      </c>
      <c r="I44" s="35" t="s">
        <v>26</v>
      </c>
      <c r="J44" s="48">
        <v>6</v>
      </c>
      <c r="K44" s="33">
        <f>MIN(F44,H44,J44)</f>
        <v>6</v>
      </c>
      <c r="M44" s="54">
        <f>_xlfn.XLOOKUP(A44&amp;G44,'GP1'!R:R,'GP1'!H:H)</f>
        <v>10</v>
      </c>
      <c r="N44" s="56">
        <f t="shared" si="0"/>
        <v>0</v>
      </c>
      <c r="O44" s="55">
        <f t="shared" si="1"/>
        <v>0</v>
      </c>
    </row>
    <row r="45" spans="1:15" ht="15.75" thickBot="1" x14ac:dyDescent="0.3">
      <c r="A45" s="39" t="s">
        <v>39</v>
      </c>
      <c r="B45" s="38" t="s">
        <v>11</v>
      </c>
      <c r="C45" s="49" t="s">
        <v>74</v>
      </c>
      <c r="D45" s="37">
        <v>1501</v>
      </c>
      <c r="E45" s="35" t="s">
        <v>38</v>
      </c>
      <c r="F45" s="36">
        <v>9</v>
      </c>
      <c r="G45" s="35" t="s">
        <v>41</v>
      </c>
      <c r="H45" s="34">
        <v>13</v>
      </c>
      <c r="I45" s="35" t="s">
        <v>40</v>
      </c>
      <c r="J45" s="48">
        <v>3</v>
      </c>
      <c r="K45" s="33">
        <f>MIN(F45,H45,J45)</f>
        <v>3</v>
      </c>
      <c r="M45" s="54">
        <f>_xlfn.XLOOKUP(A45&amp;G45,'GP1'!R:R,'GP1'!H:H)</f>
        <v>11</v>
      </c>
      <c r="N45" s="56">
        <f t="shared" si="0"/>
        <v>2</v>
      </c>
      <c r="O45" s="55">
        <f t="shared" si="1"/>
        <v>0.18181818181818182</v>
      </c>
    </row>
    <row r="46" spans="1:15" ht="15.75" thickBot="1" x14ac:dyDescent="0.3">
      <c r="A46" s="39" t="s">
        <v>32</v>
      </c>
      <c r="B46" s="38" t="s">
        <v>11</v>
      </c>
      <c r="C46" s="49" t="s">
        <v>74</v>
      </c>
      <c r="D46" s="37">
        <v>2001</v>
      </c>
      <c r="E46" s="35" t="s">
        <v>33</v>
      </c>
      <c r="F46" s="48">
        <v>6</v>
      </c>
      <c r="G46" s="35" t="s">
        <v>30</v>
      </c>
      <c r="H46" s="34">
        <v>21</v>
      </c>
      <c r="I46" s="35" t="s">
        <v>31</v>
      </c>
      <c r="J46" s="36">
        <v>11</v>
      </c>
      <c r="K46" s="33">
        <f>MIN(F46,H46,J46)</f>
        <v>6</v>
      </c>
      <c r="M46" s="54">
        <f>_xlfn.XLOOKUP(A46&amp;G46,'GP1'!R:R,'GP1'!H:H)</f>
        <v>34</v>
      </c>
      <c r="N46" s="56">
        <f t="shared" si="0"/>
        <v>-13</v>
      </c>
      <c r="O46" s="55">
        <f t="shared" si="1"/>
        <v>-0.38235294117647056</v>
      </c>
    </row>
    <row r="47" spans="1:15" ht="15.75" thickBot="1" x14ac:dyDescent="0.3">
      <c r="A47" s="39" t="s">
        <v>37</v>
      </c>
      <c r="B47" s="38" t="s">
        <v>11</v>
      </c>
      <c r="C47" s="49" t="s">
        <v>74</v>
      </c>
      <c r="D47" s="37">
        <v>501</v>
      </c>
      <c r="E47" s="35" t="s">
        <v>36</v>
      </c>
      <c r="F47" s="34">
        <v>7.5</v>
      </c>
      <c r="G47" s="35" t="s">
        <v>35</v>
      </c>
      <c r="H47" s="34">
        <v>29</v>
      </c>
      <c r="I47" s="35" t="s">
        <v>34</v>
      </c>
      <c r="J47" s="36">
        <v>2.38</v>
      </c>
      <c r="K47" s="33">
        <f>MIN(F47,H47,J47)</f>
        <v>2.38</v>
      </c>
      <c r="M47" s="54">
        <f>_xlfn.XLOOKUP(A47&amp;G47,'GP1'!R:R,'GP1'!H:H)</f>
        <v>23</v>
      </c>
      <c r="N47" s="56">
        <f t="shared" si="0"/>
        <v>6</v>
      </c>
      <c r="O47" s="55">
        <f t="shared" si="1"/>
        <v>0.2608695652173913</v>
      </c>
    </row>
    <row r="48" spans="1:15" ht="15.75" thickBot="1" x14ac:dyDescent="0.3">
      <c r="A48" s="39" t="s">
        <v>56</v>
      </c>
      <c r="B48" s="38" t="s">
        <v>11</v>
      </c>
      <c r="C48" s="49" t="s">
        <v>74</v>
      </c>
      <c r="D48" s="37">
        <v>1001</v>
      </c>
      <c r="E48" s="35" t="s">
        <v>57</v>
      </c>
      <c r="F48" s="34">
        <v>13</v>
      </c>
      <c r="G48" s="35" t="s">
        <v>54</v>
      </c>
      <c r="H48" s="36">
        <v>29</v>
      </c>
      <c r="I48" s="35" t="s">
        <v>55</v>
      </c>
      <c r="J48" s="48">
        <v>9.5</v>
      </c>
      <c r="K48" s="33">
        <f>MIN(F48,H48,J48)</f>
        <v>9.5</v>
      </c>
      <c r="M48" s="54">
        <f>_xlfn.XLOOKUP(A48&amp;G48,'GP1'!R:R,'GP1'!H:H)</f>
        <v>23</v>
      </c>
      <c r="N48" s="56">
        <f t="shared" si="0"/>
        <v>6</v>
      </c>
      <c r="O48" s="55">
        <f t="shared" si="1"/>
        <v>0.2608695652173913</v>
      </c>
    </row>
    <row r="49" spans="1:15" ht="15.75" thickBot="1" x14ac:dyDescent="0.3">
      <c r="A49" s="39" t="s">
        <v>46</v>
      </c>
      <c r="B49" s="38" t="s">
        <v>11</v>
      </c>
      <c r="C49" s="49" t="s">
        <v>74</v>
      </c>
      <c r="D49" s="37">
        <v>2001</v>
      </c>
      <c r="E49" s="35" t="s">
        <v>47</v>
      </c>
      <c r="F49" s="36">
        <v>36</v>
      </c>
      <c r="G49" s="35" t="s">
        <v>48</v>
      </c>
      <c r="H49" s="34">
        <v>29</v>
      </c>
      <c r="I49" s="35" t="s">
        <v>49</v>
      </c>
      <c r="J49" s="48">
        <v>23</v>
      </c>
      <c r="K49" s="33">
        <f>MIN(F49,H49,J49)</f>
        <v>23</v>
      </c>
      <c r="M49" s="54">
        <f>_xlfn.XLOOKUP(A49&amp;G49,'GP1'!R:R,'GP1'!H:H)</f>
        <v>15</v>
      </c>
      <c r="N49" s="56">
        <f t="shared" si="0"/>
        <v>14</v>
      </c>
      <c r="O49" s="55">
        <f t="shared" si="1"/>
        <v>0.93333333333333335</v>
      </c>
    </row>
  </sheetData>
  <autoFilter ref="A1:K49" xr:uid="{9EEE4788-E262-4130-BE90-D5983A4DF9AB}">
    <filterColumn colId="1">
      <filters>
        <filter val="Dark"/>
        <filter val="Long"/>
        <filter val="Nope"/>
      </filters>
    </filterColumn>
    <sortState xmlns:xlrd2="http://schemas.microsoft.com/office/spreadsheetml/2017/richdata2" ref="A10:K49">
      <sortCondition ref="H10:H49"/>
    </sortState>
  </autoFilter>
  <conditionalFormatting sqref="F2:F49">
    <cfRule type="colorScale" priority="1">
      <colorScale>
        <cfvo type="min"/>
        <cfvo type="percentile" val="50"/>
        <cfvo type="max"/>
        <color rgb="FF1B7837"/>
        <color rgb="FFFFFFCC"/>
        <color rgb="FFC0392B"/>
      </colorScale>
    </cfRule>
  </conditionalFormatting>
  <conditionalFormatting sqref="H2:H49">
    <cfRule type="colorScale" priority="2">
      <colorScale>
        <cfvo type="min"/>
        <cfvo type="percentile" val="50"/>
        <cfvo type="max"/>
        <color rgb="FF1B7837"/>
        <color rgb="FFFFFFCC"/>
        <color rgb="FFC0392B"/>
      </colorScale>
    </cfRule>
  </conditionalFormatting>
  <conditionalFormatting sqref="J2:J49">
    <cfRule type="colorScale" priority="3">
      <colorScale>
        <cfvo type="min"/>
        <cfvo type="percentile" val="50"/>
        <cfvo type="max"/>
        <color rgb="FF1B7837"/>
        <color rgb="FFFFFFCC"/>
        <color rgb="FFC0392B"/>
      </colorScale>
    </cfRule>
  </conditionalFormatting>
  <conditionalFormatting sqref="K2:K49">
    <cfRule type="colorScale" priority="4">
      <colorScale>
        <cfvo type="min"/>
        <cfvo type="percentile" val="50"/>
        <cfvo type="max"/>
        <color rgb="FF1B7837"/>
        <color rgb="FFFFFFCC"/>
        <color rgb="FFC0392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GP1</vt:lpstr>
      <vt:lpstr>GP2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Dylan Catterfeld</cp:lastModifiedBy>
  <dcterms:created xsi:type="dcterms:W3CDTF">2026-06-07T15:23:24Z</dcterms:created>
  <dcterms:modified xsi:type="dcterms:W3CDTF">2026-06-17T12:53:16Z</dcterms:modified>
</cp:coreProperties>
</file>